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SE\OneDrive\Desktop\"/>
    </mc:Choice>
  </mc:AlternateContent>
  <xr:revisionPtr revIDLastSave="0" documentId="13_ncr:1_{6B3F73B3-DD08-4507-B282-169E7E9C9AF7}" xr6:coauthVersionLast="47" xr6:coauthVersionMax="47" xr10:uidLastSave="{00000000-0000-0000-0000-000000000000}"/>
  <bookViews>
    <workbookView xWindow="-108" yWindow="-108" windowWidth="23256" windowHeight="12456" tabRatio="500" xr2:uid="{00000000-000D-0000-FFFF-FFFF00000000}"/>
  </bookViews>
  <sheets>
    <sheet name="COVER" sheetId="11" r:id="rId1"/>
    <sheet name="FS" sheetId="10" r:id="rId2"/>
    <sheet name="DEP" sheetId="9" r:id="rId3"/>
    <sheet name="ABSTRACT" sheetId="8" r:id="rId4"/>
    <sheet name="MS" sheetId="3" r:id="rId5"/>
    <sheet name="RA" sheetId="6" r:id="rId6"/>
    <sheet name="YP" sheetId="7" r:id="rId7"/>
  </sheets>
  <externalReferences>
    <externalReference r:id="rId8"/>
    <externalReference r:id="rId9"/>
  </externalReferences>
  <definedNames>
    <definedName name="_xlnm.Print_Area" localSheetId="3">ABSTRACT!$A$1:$G$40</definedName>
    <definedName name="_xlnm.Print_Area" localSheetId="0">COVER!$A$1:$I$29</definedName>
    <definedName name="_xlnm.Print_Area" localSheetId="4">MS!$A$1:$M$177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5" i="10" l="1"/>
  <c r="C13" i="10"/>
  <c r="C6" i="9"/>
  <c r="C5" i="9"/>
  <c r="C5" i="8"/>
  <c r="C4" i="8"/>
  <c r="D47" i="3"/>
  <c r="D48" i="3"/>
  <c r="D46" i="3"/>
  <c r="D31" i="3"/>
  <c r="D32" i="3"/>
  <c r="D30" i="3"/>
  <c r="D22" i="3"/>
  <c r="D23" i="3"/>
  <c r="D21" i="3"/>
  <c r="F48" i="3"/>
  <c r="F47" i="3"/>
  <c r="F46" i="3"/>
  <c r="F31" i="3"/>
  <c r="F32" i="3"/>
  <c r="F30" i="3"/>
  <c r="F22" i="3"/>
  <c r="F23" i="3"/>
  <c r="F21" i="3"/>
  <c r="F14" i="3"/>
  <c r="F13" i="3"/>
  <c r="F12" i="3"/>
  <c r="L127" i="3"/>
  <c r="L94" i="3"/>
  <c r="P9" i="3"/>
  <c r="A22" i="11"/>
  <c r="F6" i="9"/>
  <c r="D14" i="9"/>
  <c r="D15" i="9" s="1"/>
  <c r="D16" i="9" s="1"/>
  <c r="A159" i="3"/>
  <c r="A158" i="3"/>
  <c r="D155" i="3"/>
  <c r="L159" i="3"/>
  <c r="A22" i="3"/>
  <c r="A31" i="3" s="1"/>
  <c r="A47" i="3" s="1"/>
  <c r="A23" i="3"/>
  <c r="A32" i="3" s="1"/>
  <c r="A48" i="3" s="1"/>
  <c r="A21" i="3"/>
  <c r="A30" i="3" s="1"/>
  <c r="A46" i="3" s="1"/>
  <c r="T14" i="3"/>
  <c r="F11" i="8"/>
  <c r="A3" i="8"/>
  <c r="G6" i="9"/>
  <c r="A39" i="3"/>
  <c r="A38" i="3"/>
  <c r="D36" i="3"/>
  <c r="D139" i="3"/>
  <c r="D131" i="3"/>
  <c r="D122" i="3"/>
  <c r="D108" i="3"/>
  <c r="D62" i="3"/>
  <c r="D55" i="3"/>
  <c r="D43" i="3"/>
  <c r="D27" i="3"/>
  <c r="D18" i="3"/>
  <c r="D9" i="3"/>
  <c r="C7" i="9"/>
  <c r="C6" i="8" s="1"/>
  <c r="D17" i="9"/>
  <c r="F23" i="9" s="1"/>
  <c r="F25" i="11"/>
  <c r="G13" i="10"/>
  <c r="B37" i="9"/>
  <c r="B30" i="9"/>
  <c r="B29" i="9"/>
  <c r="A3" i="9"/>
  <c r="B38" i="8"/>
  <c r="B33" i="8"/>
  <c r="B32" i="8"/>
  <c r="D5" i="8"/>
  <c r="B18" i="3"/>
  <c r="A143" i="3"/>
  <c r="A144" i="3"/>
  <c r="A145" i="3"/>
  <c r="A146" i="3"/>
  <c r="A147" i="3"/>
  <c r="A148" i="3"/>
  <c r="A149" i="3"/>
  <c r="A142" i="3"/>
  <c r="R46" i="3"/>
  <c r="L118" i="3"/>
  <c r="L117" i="3"/>
  <c r="L116" i="3"/>
  <c r="L115" i="3"/>
  <c r="L114" i="3"/>
  <c r="L111" i="3"/>
  <c r="L104" i="3"/>
  <c r="L102" i="3"/>
  <c r="L92" i="3"/>
  <c r="L81" i="3"/>
  <c r="L78" i="3"/>
  <c r="L70" i="3"/>
  <c r="L51" i="3"/>
  <c r="L99" i="3" l="1"/>
  <c r="B27" i="3"/>
  <c r="B36" i="3" s="1"/>
  <c r="F12" i="8"/>
  <c r="F13" i="8"/>
  <c r="L73" i="3"/>
  <c r="D25" i="11"/>
  <c r="D24" i="11"/>
  <c r="L158" i="3"/>
  <c r="L161" i="3" s="1"/>
  <c r="N155" i="3" s="1"/>
  <c r="L66" i="3"/>
  <c r="L88" i="3"/>
  <c r="L97" i="3"/>
  <c r="L113" i="3"/>
  <c r="L100" i="3"/>
  <c r="L68" i="3"/>
  <c r="L87" i="3"/>
  <c r="L89" i="3"/>
  <c r="L90" i="3"/>
  <c r="L86" i="3"/>
  <c r="L50" i="3"/>
  <c r="L82" i="3"/>
  <c r="L77" i="3"/>
  <c r="L98" i="3"/>
  <c r="L79" i="3"/>
  <c r="L112" i="3"/>
  <c r="L72" i="3"/>
  <c r="L76" i="3"/>
  <c r="L71" i="3"/>
  <c r="L103" i="3"/>
  <c r="L13" i="3"/>
  <c r="L83" i="3"/>
  <c r="L93" i="3"/>
  <c r="L69" i="3"/>
  <c r="L67" i="3"/>
  <c r="L91" i="3"/>
  <c r="L80" i="3"/>
  <c r="L101" i="3"/>
  <c r="C11" i="8"/>
  <c r="E11" i="8"/>
  <c r="D11" i="8"/>
  <c r="L143" i="3"/>
  <c r="L148" i="3"/>
  <c r="L149" i="3"/>
  <c r="L146" i="3"/>
  <c r="L147" i="3"/>
  <c r="L142" i="3"/>
  <c r="L145" i="3"/>
  <c r="L144" i="3"/>
  <c r="F22" i="9"/>
  <c r="L151" i="3"/>
  <c r="L152" i="3"/>
  <c r="L14" i="3"/>
  <c r="L23" i="3"/>
  <c r="L22" i="3"/>
  <c r="L58" i="3"/>
  <c r="L60" i="3" s="1"/>
  <c r="L95" i="3" l="1"/>
  <c r="F14" i="8"/>
  <c r="B43" i="3"/>
  <c r="C12" i="8"/>
  <c r="D12" i="8"/>
  <c r="E12" i="8"/>
  <c r="C13" i="8"/>
  <c r="E13" i="8"/>
  <c r="D13" i="8"/>
  <c r="L135" i="3"/>
  <c r="L134" i="3"/>
  <c r="L137" i="3" s="1"/>
  <c r="L74" i="3"/>
  <c r="L105" i="3"/>
  <c r="L84" i="3"/>
  <c r="L21" i="3"/>
  <c r="L25" i="3" s="1"/>
  <c r="N18" i="3" s="1"/>
  <c r="B12" i="8" s="1"/>
  <c r="L12" i="3"/>
  <c r="L16" i="3" s="1"/>
  <c r="N9" i="3" s="1"/>
  <c r="B11" i="8" s="1"/>
  <c r="G11" i="8" s="1"/>
  <c r="L30" i="3"/>
  <c r="L32" i="3"/>
  <c r="L31" i="3"/>
  <c r="L48" i="3"/>
  <c r="L47" i="3"/>
  <c r="N55" i="3"/>
  <c r="F39" i="3"/>
  <c r="L39" i="3" s="1"/>
  <c r="L120" i="3"/>
  <c r="N108" i="3" s="1"/>
  <c r="C14" i="8" l="1"/>
  <c r="D14" i="8"/>
  <c r="E14" i="8"/>
  <c r="F16" i="8"/>
  <c r="B55" i="3"/>
  <c r="G12" i="8"/>
  <c r="F15" i="8"/>
  <c r="L106" i="3"/>
  <c r="N62" i="3" s="1"/>
  <c r="L34" i="3"/>
  <c r="N131" i="3"/>
  <c r="L46" i="3"/>
  <c r="L49" i="3" s="1"/>
  <c r="L53" i="3" s="1"/>
  <c r="N43" i="3" s="1"/>
  <c r="B15" i="8" s="1"/>
  <c r="L125" i="3"/>
  <c r="L129" i="3" s="1"/>
  <c r="N122" i="3" s="1"/>
  <c r="L150" i="3"/>
  <c r="L153" i="3" s="1"/>
  <c r="N139" i="3" s="1"/>
  <c r="D16" i="8" l="1"/>
  <c r="E16" i="8"/>
  <c r="C16" i="8"/>
  <c r="B16" i="8"/>
  <c r="B62" i="3"/>
  <c r="D15" i="8"/>
  <c r="G15" i="8" s="1"/>
  <c r="E15" i="8"/>
  <c r="C15" i="8"/>
  <c r="N27" i="3"/>
  <c r="B13" i="8" s="1"/>
  <c r="G13" i="8" s="1"/>
  <c r="F38" i="3"/>
  <c r="L38" i="3" s="1"/>
  <c r="L41" i="3" s="1"/>
  <c r="N36" i="3" s="1"/>
  <c r="B14" i="8" s="1"/>
  <c r="G14" i="8" s="1"/>
  <c r="G16" i="8" l="1"/>
  <c r="F17" i="8"/>
  <c r="F18" i="8"/>
  <c r="B17" i="8"/>
  <c r="B108" i="3"/>
  <c r="B18" i="8"/>
  <c r="E17" i="8" l="1"/>
  <c r="D17" i="8"/>
  <c r="G17" i="8" s="1"/>
  <c r="C17" i="8"/>
  <c r="D18" i="8"/>
  <c r="G18" i="8" s="1"/>
  <c r="E18" i="8"/>
  <c r="C18" i="8"/>
  <c r="B122" i="3"/>
  <c r="B19" i="8" s="1"/>
  <c r="F20" i="8" l="1"/>
  <c r="F19" i="8"/>
  <c r="B131" i="3"/>
  <c r="B20" i="8" s="1"/>
  <c r="D20" i="8" l="1"/>
  <c r="G20" i="8" s="1"/>
  <c r="C20" i="8"/>
  <c r="E20" i="8"/>
  <c r="C19" i="8"/>
  <c r="E19" i="8"/>
  <c r="D19" i="8"/>
  <c r="G19" i="8" s="1"/>
  <c r="B139" i="3"/>
  <c r="B21" i="8" s="1"/>
  <c r="B155" i="3" l="1"/>
  <c r="F21" i="8"/>
  <c r="F22" i="8" l="1"/>
  <c r="B22" i="8"/>
  <c r="E21" i="8"/>
  <c r="D21" i="8"/>
  <c r="G21" i="8" s="1"/>
  <c r="C21" i="8"/>
  <c r="C22" i="8" l="1"/>
  <c r="D22" i="8"/>
  <c r="G22" i="8" s="1"/>
  <c r="G24" i="8" s="1"/>
  <c r="G25" i="8" s="1"/>
  <c r="D11" i="9" s="1"/>
  <c r="D22" i="9" s="1"/>
  <c r="D24" i="9" s="1"/>
  <c r="G15" i="10" s="1"/>
  <c r="D26" i="11" s="1"/>
  <c r="E22" i="8"/>
</calcChain>
</file>

<file path=xl/sharedStrings.xml><?xml version="1.0" encoding="utf-8"?>
<sst xmlns="http://schemas.openxmlformats.org/spreadsheetml/2006/main" count="1005" uniqueCount="352">
  <si>
    <t>Village</t>
  </si>
  <si>
    <t>R2</t>
  </si>
  <si>
    <t>Sr.No</t>
  </si>
  <si>
    <t>Description of Item</t>
  </si>
  <si>
    <t>Nos</t>
  </si>
  <si>
    <t>L (m)</t>
  </si>
  <si>
    <t>B (m)</t>
  </si>
  <si>
    <t>D/H (m)</t>
  </si>
  <si>
    <t>Qty</t>
  </si>
  <si>
    <t>Unit</t>
  </si>
  <si>
    <t>Cum</t>
  </si>
  <si>
    <t>RCC Column</t>
  </si>
  <si>
    <t>F1. Vertical Wood Post</t>
  </si>
  <si>
    <t xml:space="preserve">    Post - R1</t>
  </si>
  <si>
    <t xml:space="preserve">    Post - R2</t>
  </si>
  <si>
    <t xml:space="preserve">    Post - R3</t>
  </si>
  <si>
    <t xml:space="preserve">    Post - R4</t>
  </si>
  <si>
    <t xml:space="preserve">    Post - R5</t>
  </si>
  <si>
    <t xml:space="preserve">    Post - R6</t>
  </si>
  <si>
    <t xml:space="preserve">    Post - R7</t>
  </si>
  <si>
    <t xml:space="preserve">    Post - R8</t>
  </si>
  <si>
    <t>F2. Rafter - Y direction (length = room depth)</t>
  </si>
  <si>
    <t xml:space="preserve">    Rafter-Y - R1</t>
  </si>
  <si>
    <t xml:space="preserve">    Rafter-Y - R2</t>
  </si>
  <si>
    <t xml:space="preserve">    Rafter-Y - R3</t>
  </si>
  <si>
    <t xml:space="preserve">    Rafter-Y - R4</t>
  </si>
  <si>
    <t xml:space="preserve">    Rafter-Y - R5</t>
  </si>
  <si>
    <t xml:space="preserve">    Rafter-Y - R6</t>
  </si>
  <si>
    <t xml:space="preserve">    Rafter-Y - R7</t>
  </si>
  <si>
    <t xml:space="preserve">    Rafter-Y - R8</t>
  </si>
  <si>
    <t>F3. Rafter - X direction (length = room width)</t>
  </si>
  <si>
    <t xml:space="preserve">    Rafter-X - R1</t>
  </si>
  <si>
    <t xml:space="preserve">    Rafter-X - R2</t>
  </si>
  <si>
    <t xml:space="preserve">    Rafter-X - R3</t>
  </si>
  <si>
    <t xml:space="preserve">    Rafter-X - R4</t>
  </si>
  <si>
    <t xml:space="preserve">    Rafter-X - R5</t>
  </si>
  <si>
    <t xml:space="preserve">    Rafter-X - R6</t>
  </si>
  <si>
    <t xml:space="preserve">    Rafter-X - R7</t>
  </si>
  <si>
    <t xml:space="preserve">    Rafter-X - R8</t>
  </si>
  <si>
    <t xml:space="preserve">    Pauli - R1</t>
  </si>
  <si>
    <t xml:space="preserve">    Pauli - R2</t>
  </si>
  <si>
    <t xml:space="preserve">    Pauli - R3</t>
  </si>
  <si>
    <t xml:space="preserve">    Pauli - R4</t>
  </si>
  <si>
    <t xml:space="preserve">    Pauli - R5</t>
  </si>
  <si>
    <t xml:space="preserve">    Pauli - R6</t>
  </si>
  <si>
    <t xml:space="preserve">    Pauli - R7</t>
  </si>
  <si>
    <t xml:space="preserve">    Pauli - R8</t>
  </si>
  <si>
    <t>Flooring - R1</t>
  </si>
  <si>
    <t>Sqm</t>
  </si>
  <si>
    <t>Flooring - R2</t>
  </si>
  <si>
    <t>Flooring - R3</t>
  </si>
  <si>
    <t>Flooring - R4</t>
  </si>
  <si>
    <t>Flooring - R5</t>
  </si>
  <si>
    <t>Flooring - R6</t>
  </si>
  <si>
    <t>Flooring - R7</t>
  </si>
  <si>
    <t>Flooring - R8</t>
  </si>
  <si>
    <t>JIGAON PROJECT</t>
  </si>
  <si>
    <t>Tal : Nandura                                                            Dist: Buldana</t>
  </si>
  <si>
    <t xml:space="preserve">Name of Owner :- </t>
  </si>
  <si>
    <t>Gut No.          :-</t>
  </si>
  <si>
    <t>Village :-</t>
  </si>
  <si>
    <t>MEASUREMENT SHEET</t>
  </si>
  <si>
    <t xml:space="preserve">Name of Work:- Valuation of Properties on the Land of Village:Bondgaon (Tal: Shegaon, Dist: Buldana)  </t>
  </si>
  <si>
    <t>Item No</t>
  </si>
  <si>
    <t>Total Qty.</t>
  </si>
  <si>
    <t>x</t>
  </si>
  <si>
    <t>=</t>
  </si>
  <si>
    <t xml:space="preserve">SOLING </t>
  </si>
  <si>
    <t>Net Qty.</t>
  </si>
  <si>
    <t xml:space="preserve">F4. Pauli </t>
  </si>
  <si>
    <t>RCC COLUMNS</t>
  </si>
  <si>
    <t>SUPERSTRUCTURE MASONRY - BLOCK WALL</t>
  </si>
  <si>
    <t xml:space="preserve">RCC GROUND BEAM </t>
  </si>
  <si>
    <t xml:space="preserve"> WOODWORK </t>
  </si>
  <si>
    <t>Sub Total Qty.</t>
  </si>
  <si>
    <t>+</t>
  </si>
  <si>
    <t>ROOFING</t>
  </si>
  <si>
    <t>PLASTERING - EXTERNAL</t>
  </si>
  <si>
    <t xml:space="preserve"> PLASTERING - INTERNAL </t>
  </si>
  <si>
    <t xml:space="preserve">rate </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</si>
  <si>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t>
  </si>
  <si>
    <t>Excavation for foundation in earth, soils of all types, sand,gravel and soft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1.5m to 3.0m) By mechanical means</t>
  </si>
  <si>
    <t>Excavation for foundation in hard murum including removing the excavated material upto distance of 50 metres beyond the building area and stacking and spreading as directed, dewatering, preparing the bed for the foundation and necessary back filling, ramming, watering including shoring and strutting etc. complete. (Lift upto 1.50 m) By mechanical means</t>
  </si>
  <si>
    <t>Providing dry/ trap/ granite/ quartzite/ gneiss rubble stone soling 15 cm to 20 cm thick including hand packing and compacting etc. complete.</t>
  </si>
  <si>
    <t>Providing and laying Cast in situ/Ready Mix cement concrete in M-10 of trap/ granite/ quartzite/ gneiss metal for foundation and bedding including bailing out water, formwork, laying/pumping, compacting, roughening them if special finish is to be provided, finishing if required and curing complete, with fully automatic micro processor based PLC with SCADA enabled reversible Drum Type mixer/concrete Batch mix plant (Pan mixer) etc. complete. With fine aggregate (crushed sand VSI grade)</t>
  </si>
  <si>
    <t>Providing and laying in situ/Ready Mix cement concrete M-20 of trap / granite /quartzite/ gneiss metal for R.C.C. work in foundations like raft, strip foundations, grillage and footings of R.C.C. columns and steel stanchions etc. including bailing out water, formwork, laying/pumping cover blocks, compaction and curing roughening the surface if special finish is to be provided (Excluding reinforcement and structural steel) etc.complete, with fully automatic micro processor based PLC with SCADA enabled reversible Drum Type mixer/ concrete Batch mix plant (Pan mixer) etc. complete. fine aggregate (crushed sand VSI grade)</t>
  </si>
  <si>
    <t>Providing and constructing stone masonry in mud mortar in foundation and plinth including scaffolding, finishing etc. complete. A) Up to Plinth</t>
  </si>
  <si>
    <t>Providing and constructing U.C.R.masonry in lime 1:6 mortar in foundation and plinth including scaffolding, finishing etc. complete.</t>
  </si>
  <si>
    <t>Providing and constructing stone masonry in mud mortar in foundation and plinth including scaffolding, finishing etc. complete. B) Superstructure</t>
  </si>
  <si>
    <t>Providing uncoursed rubble masonry of trap / granite / quartzite / gneiss stones in cement mortar 1:6 in foundation and plinth of inner walls / in plinth of external walls including bailing out water manually , striking joints on un exposed faces and watering etc.complete.</t>
  </si>
  <si>
    <t>Providing coursed rubble masonry first sort of trap / granite / quartzite / gneiss stones in cement mortar 1:6 in superstructure including racking out joints on the inside when plastering is to be done, watering and scaffolding etc. complete.</t>
  </si>
  <si>
    <t>cum</t>
  </si>
  <si>
    <t>Filling in plinth and floors with approved excavated material in 15cm. to 20cm. layers including watering and compacting etc. complete.</t>
  </si>
  <si>
    <t>Providing soling using 80 mm size trap metal in 15 cm. layer including filling voids with Crushed sand/grit, ramming, watering etc. complete.</t>
  </si>
  <si>
    <t>Providing second class B.B. masonry with conventional/ I.S. type bricks in mud mortar in super structures, including racking out joints, when plastering is to be done including scaffolding and watering etc. complete. A) For superstructure</t>
  </si>
  <si>
    <t xml:space="preserve"> cum</t>
  </si>
  <si>
    <t>Providing second class B.B. masonry with conventional/ I.S. type bricks in mud mortar in super structures, including racking out joints, when plastering is to be done including scaffolding and watering etc. complete. B) For foundation and plinth</t>
  </si>
  <si>
    <t>Providing second class Burnt Brick masonry with conventional/ I.S. Type bricks in cement mortar 1:6 in superstructure including striking joints, raking out joints, watering and scaffolding etc. Complete</t>
  </si>
  <si>
    <t>Providing second class Burnt Brick masonry with conventional/ I.S. type bricks in cement mortar 1:6 in foundations and plinth of inner walls/ in plinth external walls including bailing out water manually , striking joints on unexposed faces, raking out joints on exposed faces and watering etc. Complete.</t>
  </si>
  <si>
    <t>Providing and constructing Mud Wall including prepartion of mud mortar including placing, scaffolding, finishing etc. complete.</t>
  </si>
  <si>
    <t>Providing fly ash brick masonry with conventional/ I.S. type bricks in cement mortar 1:6 in superstructure including striking joints, raking out joints, watering and scaffolding etc. Complete</t>
  </si>
  <si>
    <t>Providing and laying Cast in situ/Ready Mix cement concrete M-15 of trap/ granite/quartzite/gneiss metal for coping to plinth or parapet, moulded or chamfered as per drawing or as directed including steel centering, plywood/ steel formwork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allowed.)with fully automatic micro processor based PLC with SCADA enabled reversible Drum type mixer etc complete.with fine aggregate (crushed sand VSI grade)</t>
  </si>
  <si>
    <t>Providing and laying Cast in situ/Ready Mix cement concrete M-20 of trap / granite /quartzite/ gneiss metal for R.C.C. beams and lintels as per detailed designs and drawings or as directed including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</si>
  <si>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 xml:space="preserve">Providing and laying Cast in situ/Ready Mix cement concrete M-20 of trap/ granite/ quartzite/ gneiss metal for R.C.C. chajja as per detailed design and drawings including centering, formwork, cover blocks compacting , curing , finishing and roughening the surface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 </t>
  </si>
  <si>
    <t>Providing and laying Cast in situ/Ready Mix cement concrete M-20 oftrap/ granite / quartzite/ gneiss metal for R.C.C. slabs and landings asper detailed designs and drawings including centering, formwork, cover blocks, laying/pumping, compactionfinishing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</si>
  <si>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M-20 of trap/ granite/ quartzite/ gneiss metal for R.C.C. pardi of required thickness including centering, formwork, cover blocks, laying/pumping, compacting , curing , finishing and rougheningthem if special finish is to be provided and curing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</si>
  <si>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M-20 of trap / quartzite /granite /gneiss metal for R.C.C. Waist slab, and steps of staircases as per detailed design and drawings or as directed including steel centering, plywood/ steel formwork, steel props, laying/pumping, compaction, finishing uneven and honeycombed surface with C.M. 1:3 of sufficient minimum thickness to give a smooth and even surface or roughening the surface if special finish is to be provided and curing etc. complete. (Excluding einforcement, including cover block).(Newly laid concrete shall be covered by gunny bag, plastic, tarpaulin etc.) with fully automatic micro processor based PLC with SCADA enabled reversible Drum Type mixer/ concrete Batch mix plant (Pan mixer) etc. complete. With fine aggregate (crushed sand VSI grade)</t>
  </si>
  <si>
    <t>Cum.</t>
  </si>
  <si>
    <t>Providing and laying Cast in situ/Ready Mix cement concrete M-20 of trap / granite /quartzite/ gneiss metal for R.C.C. columns as per detailed designs and drawing or as directed including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complete.With fine aggregate (crushed sand VSI grade)</t>
  </si>
  <si>
    <t>Providing and fixing in position TMT - FE - 500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</si>
  <si>
    <t>Qtl.</t>
  </si>
  <si>
    <t>Providing 50 mm thick mud plaster including racking out joints, scaffolding all finishing etc. complete.</t>
  </si>
  <si>
    <t>Providing internal cement plaster 6 mm thick in single coat in cement mortar 1:4 without neeru finish to concrete or brick surfaces, in all positions including scaffolding and curing etc. complete.</t>
  </si>
  <si>
    <t>Sqm.</t>
  </si>
  <si>
    <t>Providing sand faced plaster externally in cement mortar using approved screened sand, in all positions including base coat of 15 mm thick in cement mortar 1:4 using waterproofing compound at 1 kg per cement bag curing the same for not less than 2 days and keeping the surface of the base coat rough to receive the sand faced treatment 6 to 8 mm thick in cement mortar 1:4 finishing the surface by taking out grains and curing for fourteen days scaffolding etc.complete</t>
  </si>
  <si>
    <t xml:space="preserve">Providing neeru finish to plastered surfaces in all positions including scaffolding and curing etc. complete. </t>
  </si>
  <si>
    <t>Providing 25 mm thick mud plaster to kud walls including cow dung wash etc. completed.</t>
  </si>
  <si>
    <t xml:space="preserve"> Sqm</t>
  </si>
  <si>
    <t>Providing and constructing kud roofing with bamboos and balli rafter alongwith tur/cotton bushes excluding mud plaster etc. complete.</t>
  </si>
  <si>
    <t>Providing and constructing Kud walls including mud plaster 25 mm thick on both sides with cow dung wash etc. Complete</t>
  </si>
  <si>
    <t>Providing and constructing Kud walls, split Bamboo knitted together and covered with 12 mm. thick mud plaster on both sides etc. complete.</t>
  </si>
  <si>
    <t>Providing and fixing corrugated galvanised iron sheets of 0.63mm thick (24 B.W.G.) for roofing without wind tiles including fastening with galvanised iron screws and bolts, lead and bitumen washers as per drawing etc. complete.(Weight of 5.5 kg/sq.m.).</t>
  </si>
  <si>
    <t>Providing and fixing plain zinc sheeting of 0.80 mm thick (22 B.W.G.) over the ridge hip or valley to galvanized iron sheet roofing including all fastening and bolt galvanised iron screws and bolts, lead and bitumen washers etc. complete.(Weight of 6.8 kg/sq.m.).</t>
  </si>
  <si>
    <t>Providing and fixing false ceiling of plain asbestos cement sheets 4 mm thick with teak wood beadings 45 x 12 mm with frame work of teak wood battens of size 70 x 60 mm at 1.00 M center to center including scaffolding, if necessary, all iron work and painting (visible surfaces) to A.C. sheet and beading in two coats etc. complete. (excluding T.W. runner to be paid separately).</t>
  </si>
  <si>
    <t>Providing and fixing non teak wood Dhaba including mud flooring and mud plaster on non teak planks, rested on non teak rafter at 1.5 X2.5 m. intervals, including mud flooring over the planks etc. complete (Jungle wood Dhaba )</t>
  </si>
  <si>
    <t>Providing and fixing teak wood dhaba including mud flooring and mud plasters on non teak wood planks rested on teak wood rafters 1.5 X2.5 m. intervals including mud flooring etc. complete (vertical posts and beams are considered in teak wood)</t>
  </si>
  <si>
    <t>Providing and fixing half round single country tiled roofing over bamboo battens including nails,battens etc. complete.</t>
  </si>
  <si>
    <t>Providing and fixing half round single country tiled roofing over bamboo mats laid on half split bamboo battens including all fastenings etc. complete.</t>
  </si>
  <si>
    <t>Providing and fixing Mangalore tiled roofing with class 'AA' tiles including securing the last course of tiles near the eaves with steel flat 40 mm x 3 mm and 1.22 mm wire fixing country teak wood sloping battens of 25 x 12 mm teak wood horizontal battens of 50mm x 25mm over the slopping battens, all iron work and coal tarring the battens etc. complete (Excluding ridge and hip tiles).</t>
  </si>
  <si>
    <t>Providing and constructing arch like B.B. Masonry slab roofing including 'I' Section as a bottom support and tie rods with scaffolding ,centring,etc complete</t>
  </si>
  <si>
    <t>Providing and fixing frame with / without ventilator of size as specified with Country cut teak wood for doors and windows including chamfering, rounding, rebating, iron holdfast of size 300mm x 40mm x 5mm with oil painting, etc. Complete</t>
  </si>
  <si>
    <t>Providing and fixing frame with / without ventilator of size as specified with Country non teak wood for doors and windows including chamfering, rounding, rebating, iron holdfast of size 300mm x 40mm x 5mm with oil painting, etc. complete.</t>
  </si>
  <si>
    <t>Providing and fixing steel frame door of angle 50 x 50 x 6 mm with mild steel bars 16 mm dia. horizontally at 10mm c/c for ventilator portion including iron hold fast boxes for fixing shutters including welding, finishing, painting etc. complete.</t>
  </si>
  <si>
    <t>Providing and fixing steel frame door of angle 40 x 40 x 5 mm with 16 mm dia. mild steel bars horizontally at 10cm c/c for ventilator portion including iron hold fast for the fixing shutters including welding, painting, finishing etc. complete.</t>
  </si>
  <si>
    <t>Providing and fixing M40 grade thick vibrated pull cast or similar type concrete frame with chamfer conforming to I.S. 65241983 having 6 mm dia. bars 3 Nos. And stirrups @250 mm c/c and fixing in wall with 6 Nos of hold fast of 12 mm dia bars 500 mm long including primer and oil painting etc, complete) frame size 60 mm x 100 mm .</t>
  </si>
  <si>
    <t>Rmt</t>
  </si>
  <si>
    <t>Providing and fixing steel frame of angle 40 x 40 x 5 mm size for windows with 16 mm dia. mild steel bars horizontally at 10 cm c/c for ventilator portion and 15 cm c/c for remaining portion with M.S. flat of size 40 x 6 mm vertical at center including iron hold fast boxes for fixing 40 x 6 mm vertical at center including iron hold fast boxes for fixing shutters including welding finishing painting etc. complete.</t>
  </si>
  <si>
    <t>Sq.m</t>
  </si>
  <si>
    <t>Providing and fixing Country cut teak wood single leaf panelled door shutters 35 mm thick style and rail and 19 mm thick T.W. panels as per detailed drawing including wrought iron hold fast stainless steel fixtures and fastening and three coats of oil painting etc. complete.</t>
  </si>
  <si>
    <t>Providing and fixing Country cut teak wood double or single leaf panelled shutters, 35 mm thick style top and freze rail 95 x 35 thick with lock and bottam rail 195 x 25 mm thick and panels without ventilator as per detailed drawing excluding the door frame, stainless steel fixtures and fastening and finishing the wood work with oil painting 3 coats complete</t>
  </si>
  <si>
    <t>Providing and fixing single or double leaf panelled door shutter excluding frame with glazed openable fanlight shutter 35 mm thick as per detailed drawing consistingpanelled vertical styles 100 mm x 35 mm and lock and bottom rail 200 mm x 35 mm and panels 12 mm thick both side commercial ply faced particle board including stainless steel fixtures and fastening and T.W. beading at junctions of panel inserts and as instructed by the Engineer in charge including 3 coats of oil painting etc. complete.</t>
  </si>
  <si>
    <t>Providing and fixing M.S. grill door 24 kg/sqm of various size as per detailed drawings without hot dip coating, iron fixtures and fastenings and 3 coats of oil painting etc</t>
  </si>
  <si>
    <t>Providing and fixing Country Teak Wood frame of size 60 x 100 mm with G I Sheet Shutter etc complete.</t>
  </si>
  <si>
    <t>Providing and fixing collapsible steel gate in one / two leaves with hot rolled vertical channels of 18 x 9 x 3 mm minimum size, crossings of M.S. flats of size 18 x 5 mm T or E section for runner of minimum 40 x 6 mm size for flange, M.S. flat for top runner of minimum size 40 x 12 mm with roller wheels confirming to grade F.G. 150 fitted with snap headed rivets of minimum size 6 mm max. spacing of vertical channels be 100 mm enclosed gate position and clear space of 150 mm between two sets of crossings with hold fasts, stoppers, spaces, handles, locking arrangement and one coat of red lead primer and oil painting etc. complete. (I.S 105211983).</t>
  </si>
  <si>
    <t>Providing and fixing 24 gauge plain aluminium sheet on the face of door shutter including cutting to required size and fixing the screws including making good the damages if any to existing door shutter and frame etc. complete as directed or as per detailed drawing</t>
  </si>
  <si>
    <t>Providing and fixing acrylic plastic sheet panels of approved quality in required thickness plain clear or any colour or obscured linings in lieu of glass pans to doors/windows including providing and fixing clips, putty etc. complete. (a) 2.00 mm thick.</t>
  </si>
  <si>
    <t>Providing and fixing sheet glass of 24 oz. for all size including putty etc. Complete</t>
  </si>
  <si>
    <t>Providing and fixing the Country cut teak wood second class fully glazed openable fanlight rectangular in shape as per detailed drawing excluding the frame,stainless steel fixtures and fastenings and finishing the wood work with 3 coats of oil painting.</t>
  </si>
  <si>
    <t>Providing and fixing mild steel grill work for windows, ventilators etc. 15 kg/sqm as per drawing including fixtures, necessary welding and painting with one coats of anticorrosive paint and two coats of oil painting complete.</t>
  </si>
  <si>
    <t>Providing and fabricating structural steel work in rolled sections, fixed with connecting plates or angle cleats in main and cross beams, hip and jack rafters, purlins connecting to truss members and the like, as per detailed designs and drawing or as directed including cutting, fabricating, hoisting, erecting, fixing in position, making riveted/ bolted/ welded connections and one coat of anticorrosive paint and over it two coats of oil painting of approved quality and shade etc. complete.</t>
  </si>
  <si>
    <t>Qtl</t>
  </si>
  <si>
    <t>Providing and fixing jungle wood ballies of approved species 85 mm average dia. for common rafters, purlins, ridges, hip and valley rafters, jack rafters, wall plates, post plates, posts etc. including all iron work scaffolding if necessary and oiling in one coat etc. complete.</t>
  </si>
  <si>
    <t>Rmt.</t>
  </si>
  <si>
    <t>Providing and fixing 100 mm dia. Country teak wood ballies for post truss of 6.00 m. span as per drawing or as directed by Engineerin-charge including all iron work, scaffolding if necessary and oiling etc. complete.</t>
  </si>
  <si>
    <t>Providing and fixing Jungle (hard) wood of approved species joist and girder in timber floor of single, double or frame type including scafolding if necessary and one primer coat etc. complete</t>
  </si>
  <si>
    <t>Providing and fixing country teak wood common rafters, purlins and purlin cleats, hip rafters, jack rafters, ridges, wall plates, post plates and posts for roofing etc. including scaffolding, if necessary, all iron work and one coat of primer etc. complete</t>
  </si>
  <si>
    <t>Providing and fixing Teak wood common rafters, purlins and purlin cleats, hip rafters, jack rafters, ridges, wall plates, post plates and posts for roofing, etc. including scaffolding, if necessary all iron work and one coat of primer etc. complete.</t>
  </si>
  <si>
    <t>Providing and fixing medium grade G I pipe below C G I sheet roofing etc complete.50 mm dia</t>
  </si>
  <si>
    <t>Providing and laying Rough Shahabad Stone Flooring 25mm to 30mm thick and of required width in plain/ diamond pattern on a bed of 1:6 C.M. including cement float, striking joints, pointing in cement mortar 1:3 curing and cleaning etc. complete.</t>
  </si>
  <si>
    <t>Providing and laying Polished Shahabad Stone flooring 25mm to 30mm thick and required width wide in plain/ diamond pattern on a bed of 1:6 C.M. including cement float, filling joints, with neat cement slurry, curing, polishing and cleaning etc. complete.</t>
  </si>
  <si>
    <t>Providing and laying ceramic tiles of having size 30 cm x 30 cm confirming to I.S.15622/2006 (group D II-A) and 7 to 8 mm thick for flooring in required position laid on a bed of 1:4 cement mortar including cement float, filling joint with white/colour cement slurry cleaning curing etc. complete.</t>
  </si>
  <si>
    <t>Providing and laying ceramic tiles of having size 30 cm. x 30 cm. and confirming to corresponding I.S. for dado and skirting in required position with readymade adhesive mortar of approved quality on plaster of 1:2 cement mortar including joint filling with white/ colour cement slurry cleaning curing etc. complete.</t>
  </si>
  <si>
    <t>Providing and laying handcut polished Kotah Stone flooring 25mm to 30mm thick and 30cm wide in plain/diamond pattern on a bed of 1:6 C.M. including cement float, filling joints with neat cement slurry, curing, polishing and cleaning etc. complete.</t>
  </si>
  <si>
    <t>Providing and laying cement concrete flooring 40 mm thick with M15 cement concrete laid to proper level and slope in alternate bays including compaction, filling joints, marking lines to give the appearance of tiles of 30 cm x 30 cm or other size laid diagonally /square etc finishing smooth (with extra cement) in any colour as directed and curing etc. complete. With Natural Sand</t>
  </si>
  <si>
    <t>Providing and laying vitrified mirror / glossy finish tiles decorative type having size 590 mm to 605 mm x 590 mm to 605 mm of 8 to 10 mm thickness and confirming to IS. 15622-2006 ( group Bla) of approved make, shade and pattern for flooring in required position laid on a bed of 1:4 cement mortar including neat cement float, filling joints, curing and clearing etc. complete. a) Flooring</t>
  </si>
  <si>
    <t>Providing and laying vitrified mirror / glossy finish tiles having size 590 mm to 605 mm x 590 mm to 605 mm of 8 to 10 mm thickness and confirming to IS. 15622-2006 ( group Bla) of approved make, shade and pattern for dado and skirting in required position laid on a bed of 1:4 cement mortar including neat cement float, filling joints, curing and clearing etc. complete.b) Skirting</t>
  </si>
  <si>
    <t>Providing and applying white-wash in one coat on old / new plastered or masonry surfaces and asbestos cement sheets including scaffolding and preparing the surface by brushing and brooming down etc. complete.</t>
  </si>
  <si>
    <t>Providing and applying colour-wash of approved colour and shade in two coats to new surface including scaffolding, brushing and brooming down (excluding base coat of white-wash) etc. complete.</t>
  </si>
  <si>
    <t>Providing and applying washable oil-bound distemper of approved colour and shade to old and new surfaces in two coats including scaffolding, preparing the surfaces. (excluding the primer coat.) etc. complete.</t>
  </si>
  <si>
    <t>Providing and applying two coats of water proof cement paint of approved manufacture and of approved colour to the plastered surfaces including scaffolding if necessary, cleaning and preparing the surface, watering for two days etc. Complete</t>
  </si>
  <si>
    <t>Providing and applying two coats of lead/zinc base oil paint/ bituminous paint of approved colour and shade to new wood work and fiber boards including preparing the surface, knotting, scaffolding if necessary, excluding primer coat etc. complete.</t>
  </si>
  <si>
    <t>Providing and applying plastic emulsion paint of approved quality, colour and shade to old and new surfaces in two coats including scaffolding, preparing the surface. (excluding the primer coat)etc. complete.</t>
  </si>
  <si>
    <t>Providing and applying french polish to new wood work, for required finishing including. knotting, preparing the surfaces, scaffolding etc. complete as directed.</t>
  </si>
  <si>
    <t>Providing sills of polished Kadappa stone 25mm to 30mm thick, on a bed of 1:4 cement mortar including cement float, filling joints with slurry, curing polishing and cleaning etc. complete.</t>
  </si>
  <si>
    <t>Providing and fixing black kadappa stone as shelves 25mm. Thick machine polished, extending the polish upto 20 cm width on lowerside, rounding corners, laying in position jointing with bedding cement mortar 1:4 proportion curing etc etc. complete.</t>
  </si>
  <si>
    <t>Providing and laying in trenches  CPVC pipes of required diameter including necessary excavation, fittings. Refilling trenches etc. complete Including removing existing pipe line if necessary and conveying and stacking the same in PWD chowky or as directed etc. complete.</t>
  </si>
  <si>
    <t xml:space="preserve">(i) 15 mm dia. </t>
  </si>
  <si>
    <t xml:space="preserve">(ii) 20 mm dia. </t>
  </si>
  <si>
    <t xml:space="preserve">(iii) 25 mm dia. </t>
  </si>
  <si>
    <t>Providing and fixing Orissa type white glazed earthenware 575mm watercloset pan including Strap with earthenware footrests, cast iron soil and vent pipe upto outside face of the wall 1:2:4 brick bat lime concrete bedding without flushing tank and its accessories etc. complete.</t>
  </si>
  <si>
    <t>No</t>
  </si>
  <si>
    <t>Providing and erecting chain link fencing 1.6 M. height with G.I. chain link of size 50 x 50 mm, 8 gauge thick and fixed 75 mm above ground level on vertical M.S. Angles of 40 x 40 x 6 mm size, includind excavating pits for foundation and embedded in C.C. block of 1:4:8 mix of size 450 x 450 x 670 mm. at 1.75 M. c/c with iron bar 16mm dia as hold fast including welding link with angle frame at 30 cm c/c with nuts and bolts and horizontal M.S. Angles at top and bottom of 25 x 25 x 5 mm size and vertical M.S. flat 35 x 5 mm and 25 x 5 mm horizontal including cross support of 40 x 40 x 6 mm angles both side at every corner or bend embedded in concrete blocks of 1:4:8 of size 450 x 450 x 670 mm including 3 coats of oil painting etc. complete.</t>
  </si>
  <si>
    <t>Providing and applying boiled linseed oil in one coat, to the new wood work, including knotting, preparing the surface, scaffolding etc. Complete as directed.</t>
  </si>
  <si>
    <t>Providing and fixing stainless steel sink of size 600 x 510 x 200 mm incluidng coupling, outlet pipe, elbow and other necessary fitting, finishing etc. complete.</t>
  </si>
  <si>
    <t>Providing wiring for Fan \Light \Bell in 20 mm. HMS PVC Condut etc complete.</t>
  </si>
  <si>
    <t>Point Wiring</t>
  </si>
  <si>
    <t>No.</t>
  </si>
  <si>
    <t>Individual Plug</t>
  </si>
  <si>
    <t>Providing and laying Polyethelene film 200 gauge for roof over any type of shed including labour etc. complete</t>
  </si>
  <si>
    <t>/Sqm</t>
  </si>
  <si>
    <t>Providing and fixing Jungle wood door of frame 60 mm X 100 mm for second class door's and window with / without ventilator fan light and clear storey windows including chamfering / rounding rebating and hold fast finishing with one coat of primer etc. conplete. as directed.</t>
  </si>
  <si>
    <t>Providing and fixing non teak wood plank ceiling 12 mm. Thick with planked on underside longuled and grooved including scaffolding, fixtures with oiling and two coats of varnishing etc. conplete. (Excluding battens and joists) as directed.</t>
  </si>
  <si>
    <t>Providing &amp; fixing Country Teak Wood plank ceiling 12 mm. Thick with planked on underside, longuled and grooved includingscaffolding, fixtures with oiling and two coats of varnishing etc. complete. (excluding battens and joists) As directed by Engineer-In-Charge.</t>
  </si>
  <si>
    <t>Providing &amp; fixing wooden shelf of country teak wood plank 30 cm wide and 20 mm thick with wooden brackets of 50 mm x 50 mm without fillets including all fixtures with oil painting etc.complete. As directed by Engineer-In-Charge.</t>
  </si>
  <si>
    <t>Providing and fixing non teak doors/window II class fully pannelled without ventilators/fan light/iron bars including the frames of the sizes as per standard specification, Iron fixtures and fastenings and finishing the wood work with oil painting etc.complete. As directed by Engineer-In_x0002_Charge.</t>
  </si>
  <si>
    <t>Providing and fixing Non Teak wood Dhaba Withought mud flooring etc. Complete</t>
  </si>
  <si>
    <t>Providing and fixing teak wood dhaba Withought mud flooring etc. Complete</t>
  </si>
  <si>
    <t>Providing and fixing fully glazed  double  leaf window shutter with openable fan light including Country cut teak wood 25mm thick style and rails with plain /obscured glass panels 5mm thick as per drawing or as directed by the Engineer in charge with stainless steel fixtures and fastening and finishing the woodwork with oil painting three coats etc. complete.</t>
  </si>
  <si>
    <t>Providing &amp; fixing non teak doors/ windows 40mm.Thick ledged with 25mm.Thick plain planked shutters without ventilators/fanlight/ ironbars including the frames of the size as per standard specification,iron fixturesand fastening sand finishing the woodwork with oiling etc.complete.As directed by Engineer-In-Charge.</t>
  </si>
  <si>
    <t>Providing and fixing in position (as per 1868/1982) Aluminium sliding window of three tracks with rectangular pipe 95x38.10x0.90 mm at weight 0.637 Kilogram/One Running Metre. with window frame bottom track section 92x31.75x1.30 mm at weight 1.070 Kilogram/One Running Metre.. Top and side track section 92x31.75x1.30 mm at weight 0.933 Kilogram/Running metre. The shutter should be of bearing bottom 40x18x1.25 mm at weight 0.417 Kilogram/One Running Metre. Interlocking section 40x18x1.10 mm at weight 0.469 Kilogram/Running metre. and handle and top section 40x18x1.25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powder coating without box</t>
  </si>
  <si>
    <t>Providing and fixing in position. (as per I.S. 1868/1982) Aluminium sliding window of two tracks with rectangular pipe having overall dimension 63.50x38.10x1.02 mm at weight 0.547 Kilogram/One Running Metre. and window frame bottom track section 61.85x31.75x1.20 mm at weight 0.695 Kilogram/One Running Metre. Top and side track section 61.85x31.75x1.30 mm at weight 0.659 Kilogram/One Running Metre. The shutter should be of bearing bottom 40x18x1.25 mm at weight 0.417 Kilogram/One Running Metre. Interlocking section 40x18x1.10 mm at weight 0.469 Kilogram/One Running Metre. And handle section 40x18x1.25 mm at weight 0.417 Kilogram/One Running Metre. and top section 40x18x1.25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powder coating without box</t>
  </si>
  <si>
    <t>Providing &amp; fixing M.S. angle of size 50x50x6mm.etc complete. As directed by Engineer-In-Charge</t>
  </si>
  <si>
    <t>Providing and laying of Ceramic tiles 30x30cm  etc complete as Directed</t>
  </si>
  <si>
    <t>Providing rough cast cement plaster externally in two coats to concrete, brick or stone masonry surface sinall positions with base coat of 12to15mm thick inC.M.1:4 and rough cast treatment 12mm thick in proportion 1:11/2:3 including scaffolding and fourteen days curing complete.</t>
  </si>
  <si>
    <t>Providing and applying colour-wash of approved colourand shade in one coat to new surface including scaffolding, brushing and brooming down (excluding base coat s of white wash) etc. complete.</t>
  </si>
  <si>
    <t>Providing and applying washable oil-bound distemper of approved colour and shade to old and new surfaces in one coat including scaffolding, preparing the surfaces.(excluding the primer coat.)etc. complete.</t>
  </si>
  <si>
    <t>Excavation in all kinds of soil including boulders up to 0.6 m diameter ( 0.113 cum) for canal, seating of embankment, filter drains / catch water drains etc., and placing the excavated stuff neatly in dump area or for formation of service road / embankment including cost of all materials, machinery, labour, dressing bed and sides to required level and profile etc. Complete with lead up to 1 km and all lifts as directed.</t>
  </si>
  <si>
    <t>/Cum.</t>
  </si>
  <si>
    <t>Excavation in hard murum including boulders upto 0.6 m diameter ( 0.113 cum) for canal, seating of embankment, filter drains / catch water drains etc., and placing the excavated stuff neatly in dump area or for formation of service road / embankment including cost of all materials, machinery, labour, dressing bed and sides to required level and profile etc., complete with lead upto 1 km and all lifts as directed.</t>
  </si>
  <si>
    <t>Providing and laying in situ cement concrete of grade M_x0002_20 of trap / granite / gneiss / quartzite / graded metal for RCC works of gallery, sluice, spillway crest, spillway down stream face, energy dissipating structures,intake structures, training walls, piers, abutments,slab etc. with Batching Plant and Transit mixer including centering, shuttering ,scaffolding,compacting, curing etc. complete with all lifts etc.complete as directed.</t>
  </si>
  <si>
    <t>Providing and fixing in position TMT - FE - 500 bar reinforcement of various diameters for R.C.C. pile caps,footings, foundations, slabs, beams columns, canopies,staircase, newels, chajjas, lintels pardis, copings, fins,arches etc. as per detailed designs, drawings and schedules. including cutting, bending, hooking the bars,binding with wires or tack welding and supporting as required complete as directed.</t>
  </si>
  <si>
    <t>Excavation for foundation / pipe trenches in earth, soils of all types, sand, gravel and soft murum, including removing the excavated material upto a distance of 50 metres and lifts as below, stacking and spreading as directed, manual dewatering, preparing the bed for foundation and excluding backfilling, etc. complete.</t>
  </si>
  <si>
    <t>Providing and supplying in standard lengths ISI mark rigid unplasticised PVC pipes suitable for potable water with solvent cement joints including cost of couplers, as per IS specification no. 4985 / 1988 including all local and central taxes, transportation, freight charges, inspection charges, loading, unloading, conveyance to the departmental stores / site and stacking the same in closed shed duly protected from sun rays and rains including cost of jointing material i.e. solvent cement, etc. complete (selffit type to be jointed with cement solvent) a) Working pressure 4 Kg/Sq.cm</t>
  </si>
  <si>
    <t>63mm dia pipe</t>
  </si>
  <si>
    <t>75mm dia pipe</t>
  </si>
  <si>
    <t>90 mm dia pipe</t>
  </si>
  <si>
    <t>Lowering, laying and jointing with P.V.C. pipes and specials of following class and diamete including cost of conveyance from stores to site of works including cost of all labour, material, except cement solvent, rubber ring, giving satisfactory hydraulic testing as per IS code, etc. complete (with cement solvent joint / ring fit joint).a) Working pressure 4 Kg/Sq.cm</t>
  </si>
  <si>
    <t>i) 63mm dia pipe</t>
  </si>
  <si>
    <t>ii) 75mm dia pipe</t>
  </si>
  <si>
    <t>iii) 90mm dia pipe</t>
  </si>
  <si>
    <t>Refilling the trenches with available excavated stuff with soft material first over pipeline and then hard material in 15 cm layers with all leads and lifts including consolidation, surcharging, etc. complete.</t>
  </si>
  <si>
    <t xml:space="preserve">Drilling the bore hole of 200/215 mm dia. And 150 mm in hard starta etc complete.
</t>
  </si>
  <si>
    <t xml:space="preserve">180 mm PVC Casing pipe for bore hole  etc complete.
</t>
  </si>
  <si>
    <t>Y.P VALUES</t>
  </si>
  <si>
    <t>Tal : Nandura                                                 Dist: Buldhana</t>
  </si>
  <si>
    <t>Name</t>
  </si>
  <si>
    <t>Gut No :-</t>
  </si>
  <si>
    <t>Village:-</t>
  </si>
  <si>
    <t>ABSTRACT SHEET</t>
  </si>
  <si>
    <t>QTY</t>
  </si>
  <si>
    <t>DESCRIPTION OF ITEM</t>
  </si>
  <si>
    <t>RATE</t>
  </si>
  <si>
    <t>UNIT</t>
  </si>
  <si>
    <t>Ref. Of RA Item No</t>
  </si>
  <si>
    <t>AMOUNT</t>
  </si>
  <si>
    <t>Total Amount Rs.</t>
  </si>
  <si>
    <t>Say Rs.</t>
  </si>
  <si>
    <t>Prepared By</t>
  </si>
  <si>
    <t>Checked By</t>
  </si>
  <si>
    <t>Khamgaon</t>
  </si>
  <si>
    <t xml:space="preserve">JIGAON PROJECT </t>
  </si>
  <si>
    <t>Tal:- Nandura                                                      Dist :- Buldana</t>
  </si>
  <si>
    <t>VALUATION BY DEPRECIATION</t>
  </si>
  <si>
    <t>Name of  owner  :-</t>
  </si>
  <si>
    <t>Gut No.:-</t>
  </si>
  <si>
    <t>CONSTRUCTION DETAILS</t>
  </si>
  <si>
    <t xml:space="preserve">1) Type of structures </t>
  </si>
  <si>
    <t>2) Total life of structure</t>
  </si>
  <si>
    <t xml:space="preserve">3) Present Estimated cost Rs. </t>
  </si>
  <si>
    <t>DEPRECIATION</t>
  </si>
  <si>
    <t xml:space="preserve">1) Year of construction :- </t>
  </si>
  <si>
    <t xml:space="preserve">2) Present life </t>
  </si>
  <si>
    <t>3) Future life</t>
  </si>
  <si>
    <t>4) Y.P. for future life @ 7%</t>
  </si>
  <si>
    <t xml:space="preserve">(Ref PWD hand book Ch.37 </t>
  </si>
  <si>
    <t>5) Y.P. for Total life @ 7%</t>
  </si>
  <si>
    <t xml:space="preserve"> vol-II  Page No 34 &amp; 35 )</t>
  </si>
  <si>
    <t>FORMULA</t>
  </si>
  <si>
    <t>Depreciated Value =     Present Value   X</t>
  </si>
  <si>
    <t>Y.P. for future life</t>
  </si>
  <si>
    <t>Y.P. for Total life</t>
  </si>
  <si>
    <t xml:space="preserve"> =</t>
  </si>
  <si>
    <t xml:space="preserve"> x </t>
  </si>
  <si>
    <t xml:space="preserve"> =Rs:</t>
  </si>
  <si>
    <t>Prepared By :</t>
  </si>
  <si>
    <t>Checked By :</t>
  </si>
  <si>
    <t>P.W.D.229 E</t>
  </si>
  <si>
    <t>ESTIMATE</t>
  </si>
  <si>
    <t>DIVISION: JIGAON REHABILITATION DIVISION, KHAMGAON</t>
  </si>
  <si>
    <t>Sanctioned Estimate No.</t>
  </si>
  <si>
    <t>FUND HEAD                      :</t>
  </si>
  <si>
    <t>Vidarbha Irrigation Development Corporation , Nagpur.</t>
  </si>
  <si>
    <t>MAJOR HEAD                    :</t>
  </si>
  <si>
    <t>4701 Capital Outlay on Major &amp; Medium Irrigation Project.</t>
  </si>
  <si>
    <t>MINOR HEAD                    :</t>
  </si>
  <si>
    <t>190-Investment in Public Sectors&amp; other Undertakings.</t>
  </si>
  <si>
    <t xml:space="preserve">(Four) Capital Grants to V.I.D.Corporation. </t>
  </si>
  <si>
    <t>SERVICE HEAD                 :</t>
  </si>
  <si>
    <t>Jigaon Project.</t>
  </si>
  <si>
    <t>DEPARTMENTAL HEAD :</t>
  </si>
  <si>
    <t>I- HEAD WORKS</t>
  </si>
  <si>
    <t>B-LAND ACQUISITION</t>
  </si>
  <si>
    <t>Name of Owner :-</t>
  </si>
  <si>
    <t>Village        :</t>
  </si>
  <si>
    <t>Gut No. :</t>
  </si>
  <si>
    <t>Estimated Cost Rs.</t>
  </si>
  <si>
    <t xml:space="preserve"> /-</t>
  </si>
  <si>
    <t>Administratively approved under No................Date...............</t>
  </si>
  <si>
    <t>Technically sanctioned under No...................Date...............</t>
  </si>
  <si>
    <t>JE/AE-2</t>
  </si>
  <si>
    <t xml:space="preserve">Shri.. …………………. </t>
  </si>
  <si>
    <t>( call or authority )</t>
  </si>
  <si>
    <t>General Description.</t>
  </si>
  <si>
    <t>(For Office use Only)</t>
  </si>
  <si>
    <t>Government of Maharashtra</t>
  </si>
  <si>
    <t>Water Resources Department</t>
  </si>
  <si>
    <t>Vidarbha Irrigation Development Corporation, Nagpur</t>
  </si>
  <si>
    <t>Chief Engineer, Water Resources Department, Amravati</t>
  </si>
  <si>
    <t>Superintending Engineer, Jigaon Project Irrigation Circle, Shegaon</t>
  </si>
  <si>
    <t>J I G A O N  P R O J E C T</t>
  </si>
  <si>
    <t>Tq. Nandura                                                  Dist. Buldhana</t>
  </si>
  <si>
    <t>Name of Farmer</t>
  </si>
  <si>
    <t>:-</t>
  </si>
  <si>
    <t>Gat No.</t>
  </si>
  <si>
    <t>Amount</t>
  </si>
  <si>
    <t>/-</t>
  </si>
  <si>
    <t xml:space="preserve">Executive Engineer, Jigaon Rehabilitition Division, Khamgaon </t>
  </si>
  <si>
    <t xml:space="preserve">Subdivisional Engineer, Jigaon Rehabilitation Sub Div. No.1, Shegaon </t>
  </si>
  <si>
    <t xml:space="preserve">Prepared By:- </t>
  </si>
  <si>
    <t>Checked By:-</t>
  </si>
  <si>
    <t>JE</t>
  </si>
  <si>
    <t>(A. R. Rathod)</t>
  </si>
  <si>
    <t>Sub Divisional Engineer.</t>
  </si>
  <si>
    <t>Jigaon Rehab. Sub Div. No. 1</t>
  </si>
  <si>
    <t>Shegaon</t>
  </si>
  <si>
    <t>(S. D. Hase)</t>
  </si>
  <si>
    <t>Executive Engineer,</t>
  </si>
  <si>
    <t xml:space="preserve">Jigaon Rehabilitation Division </t>
  </si>
  <si>
    <t xml:space="preserve">Estimate prepared by                               (Junior Engineer)       And Checked by  </t>
  </si>
  <si>
    <t>Bondgaon</t>
  </si>
  <si>
    <t xml:space="preserve"> EXCAVATION</t>
  </si>
  <si>
    <t xml:space="preserve">FLOORING </t>
  </si>
  <si>
    <t>STEEL</t>
  </si>
  <si>
    <t>kg/M3</t>
  </si>
  <si>
    <t>Total Quantity</t>
  </si>
  <si>
    <t>01/2022-23</t>
  </si>
  <si>
    <t>LA No.</t>
  </si>
  <si>
    <t>-</t>
  </si>
  <si>
    <t>LW</t>
  </si>
  <si>
    <t>SW</t>
  </si>
  <si>
    <t>Deductions</t>
  </si>
  <si>
    <t>D1-D8</t>
  </si>
  <si>
    <t>W1-W8</t>
  </si>
  <si>
    <t>DOOR &amp;WINDOW- JW</t>
  </si>
  <si>
    <t xml:space="preserve">Block masonary+ wooden plank </t>
  </si>
  <si>
    <t xml:space="preserve">                     The section-11 (as per LARRR Act 2013) for the L.A.Case 03/2021-22 of Village Sorrounding of Village Bhon Ta. Sangrampur Dist.Buldhana is published in Govt. Gazette on 30.06.2022. Hence, the PWD SSR 2021-22, WRD CSR 2022-23, M.J.P. S.S.R. 2021-22 &amp; GSDA CSR 2021-22 is used for preparing the estimate of valuation of affected Properties. </t>
  </si>
  <si>
    <t xml:space="preserve">                    Estimate framed in the Office of The Executive Engineer, Jigaon Rehabilitition Division, Khamgaon for the probable expenditure that will be incurred in ESTIMATE FOR VALUATION OF HOUSES/ PROPERTIES IN VILLAGE SURROUNDING OF Bondgaon TAL: Shegaon, DIST: BULDHANA, COMING UNDER SUBMERGENCE OF JIGAON PROJECT.</t>
  </si>
  <si>
    <t>Eknath pandurang tharkar</t>
  </si>
  <si>
    <t>Providing Autoclaved Aerated Concrete Block masonary of conforming to IS:2185 (Part3) -1984 in extra fine jointing mortar of fix o block of UltraTechor equivalent in superstructure including striking joints ,raking out joints and scaffolding etc. Complete. (The test shall be carried out conforming to IS:6441 (Part I) - 1972)</t>
  </si>
  <si>
    <t>Providing and constructing masonry in Autoclaved Aerated (Cellular) Concrete Block of approved manufacturer conforming to IS 2185 Part III 1984 of size (625 x 240 x 100) mm in extra fine jointing mortar of fixoblock in half brick thick wall including 2 hoop iron strips 25 mm x 1.6 mm at every third course, properly bent and bonded at ends, scaffolding, raking out joints and watering complete.</t>
  </si>
  <si>
    <t>Providing Autoclaved aerated concrete block masonry of approved manufacture confirming to IS 2185 Part III 1984 of size 600 mm x 200 mm and thickness 100, 150, 200 or 250 mm using Ready to use BLOCK JOINT MORTAR 1:6 in foundations and plinth of inner walls / external walls including bailing out water, striking joints on unexposed faces, racking out joints on exposed faces and watering complete. With Prior Approval of Concerned S.E.</t>
  </si>
  <si>
    <t>Sand - Natural/V.S.I.(Vertical Shaft Impact Crusher)Quality Artifitial Sand</t>
  </si>
  <si>
    <t>Providing and erecting 1.2 meter high wire fencing with five rows of barbed wire supported on mild steel angle (50 x 50 x 6 mm) post at 2.5 m c/c including excavation of pits of foundation concrete fixing the posts in (1:4:8) cement concrete block of 45 x 45 x 45 cm and fastening the Wires and painting the angles with one coat with red lead primer and two coats of oil painting etc. complete.</t>
  </si>
  <si>
    <t>providing and lying Ply wood 6mm thick</t>
  </si>
  <si>
    <t>Deduction</t>
  </si>
  <si>
    <t>item No</t>
  </si>
  <si>
    <t>description</t>
  </si>
  <si>
    <t xml:space="preserve">unit </t>
  </si>
  <si>
    <t>Providing and fixing solid core flush door shutter commercial insingle leaf 32mm thick without ventilator commercial type of exterior grade as per detailed drawings with wrought iron hold fast, stainless steel fixtures and fastening sand handle s on both sides and finishing with oil painting 3 coats complete.</t>
  </si>
  <si>
    <t>Cu Mt</t>
  </si>
  <si>
    <t>Providing and fixing mild steel grill railing weighing 15kg / sqm. with PVC handrail cover and newel post for staircases, including fabricating, fixtures, drilling holes in concrete / other surface, erecting the grill work, necessary welding, fixing by nuts and bolts, fixing PVC handrail cover, with one coat of anticorrosive paint and two coats of oil painting with approved colour and shade, remaking the damaged surface, cleaning, etc. complete. Spec. No. : As directed by Engineer in charge.</t>
  </si>
  <si>
    <t>Providing and fixing heavy duty interlocking concrete Grey paving blocks of 60 mm thickness of having a strength of 300 Kilogram/Sq.cm. of approved quality and shape on a bed of crushed sand of 25 to 30 mm thick including skirting joint sand cleaning etc.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</si>
</sst>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
    <numFmt numFmtId="165" formatCode="_ * #,##0_ ;_ * \-#,##0_ ;_ * &quot;-&quot;??_ ;_ @_ "/>
    <numFmt numFmtId="166" formatCode="0.0"/>
  </numFmts>
  <fonts count="33" x14ac:knownFonts="1">
    <font>
      <sz val="11"/>
      <color theme="1"/>
      <name val="Calibri"/>
      <family val="2"/>
      <charset val="1"/>
    </font>
    <font>
      <sz val="10"/>
      <name val="Arial"/>
      <family val="2"/>
    </font>
    <font>
      <b/>
      <sz val="14"/>
      <name val="Times New Roman"/>
      <family val="1"/>
    </font>
    <font>
      <sz val="12"/>
      <name val="Times New Roman"/>
      <family val="1"/>
    </font>
    <font>
      <b/>
      <sz val="12"/>
      <name val="Times New Roman"/>
      <family val="1"/>
    </font>
    <font>
      <b/>
      <u/>
      <sz val="12"/>
      <name val="Times New Roman"/>
      <family val="1"/>
    </font>
    <font>
      <b/>
      <sz val="16"/>
      <name val="Times New Roman"/>
      <family val="1"/>
    </font>
    <font>
      <sz val="11"/>
      <color theme="1"/>
      <name val="Times New Roman"/>
      <family val="1"/>
    </font>
    <font>
      <b/>
      <sz val="10"/>
      <name val="Times New Roman"/>
      <family val="1"/>
    </font>
    <font>
      <sz val="10"/>
      <name val="Times New Roman"/>
      <family val="1"/>
    </font>
    <font>
      <sz val="12"/>
      <color theme="1"/>
      <name val="Times New Roman"/>
      <family val="1"/>
    </font>
    <font>
      <b/>
      <sz val="14"/>
      <color theme="1"/>
      <name val="Times New Roman"/>
      <family val="1"/>
    </font>
    <font>
      <b/>
      <u/>
      <sz val="12"/>
      <color theme="1"/>
      <name val="Times New Roman"/>
      <family val="1"/>
    </font>
    <font>
      <b/>
      <sz val="12"/>
      <color theme="1"/>
      <name val="Times New Roman"/>
      <family val="1"/>
    </font>
    <font>
      <u/>
      <sz val="12"/>
      <color theme="1"/>
      <name val="Times New Roman"/>
      <family val="1"/>
    </font>
    <font>
      <sz val="14"/>
      <color theme="1"/>
      <name val="Times New Roman"/>
      <family val="1"/>
    </font>
    <font>
      <b/>
      <sz val="16"/>
      <color theme="1"/>
      <name val="Calibri"/>
      <family val="2"/>
      <scheme val="minor"/>
    </font>
    <font>
      <sz val="10"/>
      <name val="Arial"/>
      <family val="2"/>
    </font>
    <font>
      <b/>
      <i/>
      <u/>
      <sz val="12"/>
      <color theme="1"/>
      <name val="Times New Roman"/>
      <family val="1"/>
    </font>
    <font>
      <u/>
      <sz val="11"/>
      <color theme="1"/>
      <name val="Calibri"/>
      <family val="2"/>
      <scheme val="minor"/>
    </font>
    <font>
      <sz val="12"/>
      <color rgb="FFFF0000"/>
      <name val="Times New Roman"/>
      <family val="1"/>
    </font>
    <font>
      <b/>
      <i/>
      <u/>
      <sz val="12"/>
      <name val="Times New Roman"/>
      <family val="1"/>
    </font>
    <font>
      <sz val="12"/>
      <name val="Arial"/>
      <family val="2"/>
    </font>
    <font>
      <sz val="12"/>
      <color theme="1"/>
      <name val="Calibri"/>
      <family val="2"/>
      <scheme val="minor"/>
    </font>
    <font>
      <sz val="14"/>
      <name val="Times New Roman"/>
      <family val="1"/>
    </font>
    <font>
      <b/>
      <sz val="16"/>
      <color rgb="FF000000"/>
      <name val="Times New Roman"/>
      <family val="1"/>
    </font>
    <font>
      <sz val="16"/>
      <color rgb="FF000000"/>
      <name val="Times New Roman"/>
      <family val="1"/>
    </font>
    <font>
      <sz val="14"/>
      <color rgb="FF000000"/>
      <name val="Times New Roman"/>
      <family val="1"/>
    </font>
    <font>
      <b/>
      <sz val="18"/>
      <color rgb="FF000000"/>
      <name val="Times New Roman"/>
      <family val="1"/>
    </font>
    <font>
      <sz val="15"/>
      <color rgb="FF000000"/>
      <name val="Times New Roman"/>
      <family val="1"/>
    </font>
    <font>
      <b/>
      <sz val="14"/>
      <color rgb="FF000000"/>
      <name val="Times New Roman"/>
      <family val="1"/>
    </font>
    <font>
      <b/>
      <sz val="13"/>
      <color rgb="FF000000"/>
      <name val="Times New Roman"/>
      <family val="1"/>
    </font>
    <font>
      <sz val="8"/>
      <name val="Calibri"/>
      <family val="2"/>
      <charset val="1"/>
    </font>
  </fonts>
  <fills count="3">
    <fill>
      <patternFill patternType="none"/>
    </fill>
    <fill>
      <patternFill patternType="gray125"/>
    </fill>
    <fill>
      <patternFill patternType="solid">
        <fgColor theme="0" tint="-4.9989318521683403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3" fontId="1" fillId="0" borderId="0" applyBorder="0" applyAlignment="0" applyProtection="0"/>
    <xf numFmtId="0" fontId="17" fillId="0" borderId="0"/>
  </cellStyleXfs>
  <cellXfs count="207">
    <xf numFmtId="0" fontId="0" fillId="0" borderId="0" xfId="0"/>
    <xf numFmtId="0" fontId="3" fillId="0" borderId="0" xfId="0" applyFont="1" applyAlignment="1">
      <alignment horizontal="center" vertical="center"/>
    </xf>
    <xf numFmtId="0" fontId="7" fillId="0" borderId="0" xfId="0" applyFont="1"/>
    <xf numFmtId="0" fontId="10" fillId="0" borderId="0" xfId="0" applyFont="1"/>
    <xf numFmtId="0" fontId="10" fillId="0" borderId="0" xfId="0" applyFont="1" applyAlignment="1">
      <alignment horizontal="center"/>
    </xf>
    <xf numFmtId="2" fontId="3" fillId="0" borderId="0" xfId="0" applyNumberFormat="1" applyFont="1" applyAlignment="1">
      <alignment horizontal="center" vertical="center"/>
    </xf>
    <xf numFmtId="0" fontId="10" fillId="0" borderId="0" xfId="0" applyFont="1" applyAlignment="1">
      <alignment horizontal="center" vertical="center"/>
    </xf>
    <xf numFmtId="0" fontId="12" fillId="0" borderId="0" xfId="0" applyFont="1" applyAlignment="1">
      <alignment horizontal="left" vertical="center"/>
    </xf>
    <xf numFmtId="0" fontId="13" fillId="0" borderId="0" xfId="0" applyFont="1" applyAlignment="1">
      <alignment horizontal="center" vertical="center"/>
    </xf>
    <xf numFmtId="0" fontId="10" fillId="0" borderId="0" xfId="0" applyFont="1" applyAlignment="1">
      <alignment horizontal="left" vertical="center"/>
    </xf>
    <xf numFmtId="3" fontId="10" fillId="0" borderId="0" xfId="0" applyNumberFormat="1" applyFont="1" applyAlignment="1">
      <alignment horizontal="center" vertical="center"/>
    </xf>
    <xf numFmtId="0" fontId="14" fillId="0" borderId="0" xfId="0" applyFont="1" applyAlignment="1">
      <alignment horizontal="center" vertical="center"/>
    </xf>
    <xf numFmtId="0" fontId="11" fillId="0" borderId="0" xfId="0" applyFont="1" applyAlignment="1">
      <alignment vertical="center"/>
    </xf>
    <xf numFmtId="0" fontId="13" fillId="0" borderId="0" xfId="0" applyFont="1" applyAlignment="1">
      <alignment horizontal="center" vertical="center" wrapText="1"/>
    </xf>
    <xf numFmtId="0" fontId="15" fillId="0" borderId="0" xfId="0" applyFont="1" applyAlignment="1">
      <alignment horizontal="center"/>
    </xf>
    <xf numFmtId="0" fontId="13" fillId="0" borderId="0" xfId="0" applyFont="1" applyAlignment="1">
      <alignment vertical="center"/>
    </xf>
    <xf numFmtId="0" fontId="10" fillId="0" borderId="0" xfId="0" applyFont="1" applyAlignment="1">
      <alignment vertical="center"/>
    </xf>
    <xf numFmtId="1" fontId="10" fillId="0" borderId="0" xfId="0" applyNumberFormat="1" applyFont="1" applyAlignment="1">
      <alignment horizontal="center" vertical="center"/>
    </xf>
    <xf numFmtId="2" fontId="10" fillId="0" borderId="0" xfId="0" applyNumberFormat="1" applyFont="1" applyAlignment="1">
      <alignment horizontal="center" vertical="center"/>
    </xf>
    <xf numFmtId="0" fontId="7" fillId="0" borderId="0" xfId="0" applyFont="1" applyAlignment="1">
      <alignment horizontal="center"/>
    </xf>
    <xf numFmtId="164" fontId="13" fillId="0" borderId="0" xfId="0" applyNumberFormat="1" applyFont="1" applyAlignment="1">
      <alignment horizontal="center" vertical="center"/>
    </xf>
    <xf numFmtId="0" fontId="13" fillId="0" borderId="0" xfId="0" applyFont="1" applyAlignment="1">
      <alignment horizontal="right" vertical="center"/>
    </xf>
    <xf numFmtId="2" fontId="10" fillId="0" borderId="0" xfId="0" applyNumberFormat="1" applyFont="1" applyAlignment="1">
      <alignment horizontal="center"/>
    </xf>
    <xf numFmtId="0" fontId="7" fillId="0" borderId="0" xfId="0" applyFont="1" applyAlignment="1">
      <alignment horizontal="center" vertical="center"/>
    </xf>
    <xf numFmtId="0" fontId="16" fillId="0" borderId="0" xfId="0" applyFont="1" applyAlignment="1">
      <alignment horizontal="center" vertical="center"/>
    </xf>
    <xf numFmtId="0" fontId="16"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wrapText="1"/>
    </xf>
    <xf numFmtId="0" fontId="10" fillId="0" borderId="0" xfId="2" applyFont="1" applyAlignment="1">
      <alignment horizontal="left" vertical="center"/>
    </xf>
    <xf numFmtId="0" fontId="13" fillId="0" borderId="0" xfId="2" applyFont="1" applyAlignment="1">
      <alignment horizontal="left" vertical="center"/>
    </xf>
    <xf numFmtId="0" fontId="10" fillId="0" borderId="0" xfId="2" applyFont="1"/>
    <xf numFmtId="3" fontId="13" fillId="0" borderId="0" xfId="2" applyNumberFormat="1" applyFont="1" applyAlignment="1">
      <alignment horizontal="left" vertical="center"/>
    </xf>
    <xf numFmtId="0" fontId="13" fillId="0" borderId="0" xfId="2" applyFont="1"/>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2" fillId="0" borderId="1" xfId="0" applyFont="1" applyBorder="1" applyAlignment="1">
      <alignment horizontal="center" vertical="center" wrapText="1"/>
    </xf>
    <xf numFmtId="2" fontId="10" fillId="0" borderId="1" xfId="0" applyNumberFormat="1" applyFont="1" applyBorder="1" applyAlignment="1">
      <alignment horizontal="center" vertical="center"/>
    </xf>
    <xf numFmtId="2" fontId="10" fillId="0" borderId="2" xfId="0" applyNumberFormat="1" applyFont="1" applyBorder="1" applyAlignment="1">
      <alignment horizontal="justify" vertical="top" wrapText="1"/>
    </xf>
    <xf numFmtId="1" fontId="10" fillId="0" borderId="2" xfId="0" applyNumberFormat="1" applyFont="1" applyBorder="1" applyAlignment="1">
      <alignment horizontal="center" vertical="center"/>
    </xf>
    <xf numFmtId="1" fontId="10" fillId="0" borderId="1" xfId="0" applyNumberFormat="1" applyFont="1" applyBorder="1" applyAlignment="1">
      <alignment horizontal="center" vertical="center" wrapText="1"/>
    </xf>
    <xf numFmtId="2" fontId="10" fillId="0" borderId="2" xfId="0" applyNumberFormat="1" applyFont="1" applyBorder="1" applyAlignment="1">
      <alignment horizontal="center" vertical="center"/>
    </xf>
    <xf numFmtId="2" fontId="10" fillId="0" borderId="3" xfId="0" applyNumberFormat="1" applyFont="1" applyBorder="1" applyAlignment="1">
      <alignment horizontal="center" vertical="center"/>
    </xf>
    <xf numFmtId="1" fontId="10" fillId="0" borderId="3" xfId="0" applyNumberFormat="1" applyFont="1" applyBorder="1" applyAlignment="1">
      <alignment horizontal="center" vertical="center"/>
    </xf>
    <xf numFmtId="0" fontId="10" fillId="0" borderId="1" xfId="0" applyFont="1" applyBorder="1" applyAlignment="1">
      <alignment vertical="center"/>
    </xf>
    <xf numFmtId="0" fontId="10" fillId="0" borderId="1" xfId="0" applyFont="1" applyBorder="1"/>
    <xf numFmtId="0" fontId="10" fillId="0" borderId="1" xfId="0" applyFont="1" applyBorder="1" applyAlignment="1">
      <alignment horizontal="center" vertical="top"/>
    </xf>
    <xf numFmtId="1" fontId="13" fillId="0" borderId="1" xfId="0" applyNumberFormat="1" applyFont="1" applyBorder="1" applyAlignment="1">
      <alignment horizontal="center" vertical="center"/>
    </xf>
    <xf numFmtId="0" fontId="18" fillId="0" borderId="0" xfId="0" applyFont="1" applyAlignment="1">
      <alignment horizontal="center"/>
    </xf>
    <xf numFmtId="0" fontId="10" fillId="0" borderId="0" xfId="0" applyFont="1" applyAlignment="1">
      <alignment horizontal="center" vertical="top"/>
    </xf>
    <xf numFmtId="0" fontId="10" fillId="0" borderId="0" xfId="2" applyFont="1" applyAlignment="1">
      <alignment horizontal="center"/>
    </xf>
    <xf numFmtId="0" fontId="13" fillId="0" borderId="0" xfId="0" applyFont="1" applyAlignment="1">
      <alignment horizontal="center"/>
    </xf>
    <xf numFmtId="0" fontId="10" fillId="0" borderId="0" xfId="2" quotePrefix="1" applyFont="1" applyAlignment="1">
      <alignment horizontal="center"/>
    </xf>
    <xf numFmtId="0" fontId="10" fillId="0" borderId="0" xfId="2" applyFont="1" applyAlignment="1">
      <alignment vertical="center"/>
    </xf>
    <xf numFmtId="0" fontId="10" fillId="0" borderId="0" xfId="2" applyFont="1" applyAlignment="1">
      <alignment vertical="top"/>
    </xf>
    <xf numFmtId="0" fontId="10" fillId="0" borderId="0" xfId="0" applyFont="1" applyAlignment="1">
      <alignment vertical="top"/>
    </xf>
    <xf numFmtId="0" fontId="2" fillId="0" borderId="0" xfId="2" applyFont="1"/>
    <xf numFmtId="0" fontId="3" fillId="0" borderId="0" xfId="2" applyFont="1"/>
    <xf numFmtId="0" fontId="3" fillId="0" borderId="0" xfId="2" applyFont="1" applyAlignment="1">
      <alignment horizontal="center" vertical="center" wrapText="1"/>
    </xf>
    <xf numFmtId="0" fontId="4" fillId="0" borderId="0" xfId="2" applyFont="1" applyAlignment="1">
      <alignment horizontal="center" vertical="center"/>
    </xf>
    <xf numFmtId="0" fontId="4" fillId="0" borderId="0" xfId="2" applyFont="1" applyAlignment="1">
      <alignment vertical="center"/>
    </xf>
    <xf numFmtId="0" fontId="3" fillId="0" borderId="0" xfId="2" applyFont="1" applyAlignment="1">
      <alignment horizontal="left" vertical="center"/>
    </xf>
    <xf numFmtId="0" fontId="3" fillId="0" borderId="0" xfId="2" applyFont="1" applyAlignment="1">
      <alignment vertical="center"/>
    </xf>
    <xf numFmtId="3" fontId="3" fillId="0" borderId="0" xfId="2" applyNumberFormat="1" applyFont="1" applyAlignment="1">
      <alignment horizontal="left" vertical="center"/>
    </xf>
    <xf numFmtId="0" fontId="3" fillId="0" borderId="0" xfId="2" applyFont="1" applyAlignment="1">
      <alignment horizontal="right" vertical="center"/>
    </xf>
    <xf numFmtId="0" fontId="20" fillId="0" borderId="0" xfId="2" applyFont="1" applyAlignment="1">
      <alignment horizontal="center" vertical="center"/>
    </xf>
    <xf numFmtId="0" fontId="3" fillId="0" borderId="0" xfId="2" applyFont="1" applyAlignment="1">
      <alignment horizontal="center" vertical="center"/>
    </xf>
    <xf numFmtId="0" fontId="20" fillId="0" borderId="0" xfId="0" applyFont="1" applyAlignment="1">
      <alignment horizontal="center" vertical="center"/>
    </xf>
    <xf numFmtId="0" fontId="3" fillId="0" borderId="5" xfId="2" applyFont="1" applyBorder="1" applyAlignment="1">
      <alignment vertical="center"/>
    </xf>
    <xf numFmtId="1" fontId="3" fillId="0" borderId="0" xfId="2" applyNumberFormat="1" applyFont="1" applyAlignment="1">
      <alignment vertical="center"/>
    </xf>
    <xf numFmtId="1" fontId="3" fillId="0" borderId="0" xfId="2" applyNumberFormat="1" applyFont="1" applyAlignment="1">
      <alignment horizontal="center" vertical="center"/>
    </xf>
    <xf numFmtId="0" fontId="3" fillId="0" borderId="5" xfId="2" applyFont="1" applyBorder="1" applyAlignment="1">
      <alignment horizontal="center" vertical="center"/>
    </xf>
    <xf numFmtId="0" fontId="4" fillId="0" borderId="0" xfId="2" applyFont="1" applyAlignment="1">
      <alignment horizontal="right" vertical="center"/>
    </xf>
    <xf numFmtId="2" fontId="4" fillId="0" borderId="0" xfId="2" applyNumberFormat="1" applyFont="1" applyAlignment="1">
      <alignment vertical="center"/>
    </xf>
    <xf numFmtId="0" fontId="21" fillId="0" borderId="0" xfId="2" applyFont="1" applyAlignment="1">
      <alignment horizontal="center" vertical="center"/>
    </xf>
    <xf numFmtId="2" fontId="4" fillId="0" borderId="0" xfId="2" applyNumberFormat="1" applyFont="1" applyAlignment="1">
      <alignment horizontal="center" vertical="center"/>
    </xf>
    <xf numFmtId="0" fontId="3" fillId="0" borderId="0" xfId="2" quotePrefix="1" applyFont="1" applyAlignment="1">
      <alignment horizontal="center" vertical="center"/>
    </xf>
    <xf numFmtId="0" fontId="3" fillId="0" borderId="0" xfId="2" quotePrefix="1" applyFont="1" applyAlignment="1">
      <alignment horizontal="center"/>
    </xf>
    <xf numFmtId="0" fontId="3" fillId="0" borderId="0" xfId="0" applyFont="1"/>
    <xf numFmtId="0" fontId="22" fillId="0" borderId="0" xfId="0" applyFont="1"/>
    <xf numFmtId="0" fontId="23" fillId="0" borderId="0" xfId="0" applyFont="1"/>
    <xf numFmtId="0" fontId="6" fillId="0" borderId="0" xfId="2" applyFont="1"/>
    <xf numFmtId="3" fontId="4" fillId="0" borderId="0" xfId="2" applyNumberFormat="1" applyFont="1"/>
    <xf numFmtId="0" fontId="2" fillId="0" borderId="0" xfId="2" applyFont="1" applyAlignment="1">
      <alignment horizontal="right"/>
    </xf>
    <xf numFmtId="165" fontId="2" fillId="0" borderId="0" xfId="1" applyNumberFormat="1" applyFont="1"/>
    <xf numFmtId="0" fontId="24" fillId="0" borderId="0" xfId="2" applyFont="1"/>
    <xf numFmtId="0" fontId="4" fillId="0" borderId="0" xfId="2" applyFont="1" applyAlignment="1">
      <alignment horizontal="center"/>
    </xf>
    <xf numFmtId="0" fontId="3" fillId="0" borderId="0" xfId="2" applyFont="1" applyAlignment="1">
      <alignment horizontal="center"/>
    </xf>
    <xf numFmtId="0" fontId="7" fillId="0" borderId="6" xfId="0" applyFont="1" applyBorder="1"/>
    <xf numFmtId="0" fontId="7" fillId="0" borderId="7" xfId="0" applyFont="1" applyBorder="1"/>
    <xf numFmtId="0" fontId="7" fillId="0" borderId="8" xfId="0" applyFont="1" applyBorder="1" applyAlignment="1">
      <alignment horizontal="right" vertical="top"/>
    </xf>
    <xf numFmtId="0" fontId="27" fillId="0" borderId="9" xfId="0" applyFont="1" applyBorder="1" applyAlignment="1">
      <alignment horizontal="center" vertical="center"/>
    </xf>
    <xf numFmtId="0" fontId="27" fillId="0" borderId="0" xfId="0" applyFont="1" applyAlignment="1">
      <alignment horizontal="center" vertical="center"/>
    </xf>
    <xf numFmtId="0" fontId="27" fillId="0" borderId="10" xfId="0" applyFont="1" applyBorder="1" applyAlignment="1">
      <alignment horizontal="center" vertical="center"/>
    </xf>
    <xf numFmtId="0" fontId="7" fillId="0" borderId="9" xfId="0" applyFont="1" applyBorder="1" applyAlignment="1">
      <alignment horizontal="left" vertical="center"/>
    </xf>
    <xf numFmtId="0" fontId="9" fillId="0" borderId="0" xfId="0" applyFont="1" applyAlignment="1">
      <alignment vertical="center"/>
    </xf>
    <xf numFmtId="0" fontId="3" fillId="0" borderId="0" xfId="0" applyFont="1" applyAlignment="1">
      <alignment vertical="center"/>
    </xf>
    <xf numFmtId="0" fontId="9" fillId="0" borderId="10" xfId="0" applyFont="1" applyBorder="1" applyAlignment="1">
      <alignment vertical="center"/>
    </xf>
    <xf numFmtId="0" fontId="28" fillId="0" borderId="9" xfId="0" applyFont="1" applyBorder="1" applyAlignment="1">
      <alignment horizontal="left" vertical="center"/>
    </xf>
    <xf numFmtId="0" fontId="27" fillId="0" borderId="9" xfId="0" applyFont="1" applyBorder="1" applyAlignment="1">
      <alignment horizontal="left" vertical="center"/>
    </xf>
    <xf numFmtId="0" fontId="31" fillId="0" borderId="9" xfId="0" applyFont="1" applyBorder="1" applyAlignment="1">
      <alignment horizontal="center" vertical="center" wrapText="1"/>
    </xf>
    <xf numFmtId="0" fontId="31" fillId="0" borderId="0" xfId="0" applyFont="1" applyAlignment="1">
      <alignment horizontal="center" vertical="center" wrapText="1"/>
    </xf>
    <xf numFmtId="0" fontId="31" fillId="0" borderId="10" xfId="0" applyFont="1" applyBorder="1" applyAlignment="1">
      <alignment horizontal="center" vertical="center" wrapText="1"/>
    </xf>
    <xf numFmtId="0" fontId="30" fillId="0" borderId="9" xfId="0" applyFont="1" applyBorder="1" applyAlignment="1">
      <alignment vertical="center"/>
    </xf>
    <xf numFmtId="0" fontId="30" fillId="0" borderId="0" xfId="0" applyFont="1" applyAlignment="1">
      <alignment vertical="center"/>
    </xf>
    <xf numFmtId="0" fontId="30" fillId="0" borderId="9" xfId="0" applyFont="1" applyBorder="1" applyAlignment="1">
      <alignment horizontal="left" vertical="center"/>
    </xf>
    <xf numFmtId="0" fontId="24" fillId="0" borderId="0" xfId="0" applyFont="1"/>
    <xf numFmtId="1" fontId="2" fillId="0" borderId="0" xfId="0" applyNumberFormat="1" applyFont="1" applyAlignment="1">
      <alignment horizontal="left" vertical="center"/>
    </xf>
    <xf numFmtId="0" fontId="2" fillId="0" borderId="0" xfId="0" applyFont="1"/>
    <xf numFmtId="165" fontId="2" fillId="0" borderId="0" xfId="1" applyNumberFormat="1" applyFont="1" applyBorder="1" applyAlignment="1">
      <alignment horizontal="left" vertical="center"/>
    </xf>
    <xf numFmtId="0" fontId="2" fillId="0" borderId="0" xfId="0" applyFont="1" applyAlignment="1">
      <alignment horizontal="left" vertical="center"/>
    </xf>
    <xf numFmtId="0" fontId="15" fillId="0" borderId="0" xfId="0" applyFont="1"/>
    <xf numFmtId="0" fontId="24" fillId="0" borderId="0" xfId="0" applyFont="1" applyAlignment="1">
      <alignment vertical="center"/>
    </xf>
    <xf numFmtId="0" fontId="24" fillId="0" borderId="10" xfId="0" applyFont="1" applyBorder="1" applyAlignment="1">
      <alignment vertical="center"/>
    </xf>
    <xf numFmtId="0" fontId="9" fillId="0" borderId="0" xfId="0" applyFont="1"/>
    <xf numFmtId="1" fontId="4" fillId="0" borderId="0" xfId="0" applyNumberFormat="1" applyFont="1" applyAlignment="1">
      <alignment horizontal="center" vertical="center"/>
    </xf>
    <xf numFmtId="0" fontId="8" fillId="0" borderId="0" xfId="0" applyFont="1" applyAlignment="1">
      <alignment horizontal="left" vertical="center"/>
    </xf>
    <xf numFmtId="0" fontId="9" fillId="0" borderId="10" xfId="0" applyFont="1" applyBorder="1"/>
    <xf numFmtId="0" fontId="7" fillId="0" borderId="9" xfId="0" applyFont="1" applyBorder="1"/>
    <xf numFmtId="0" fontId="7" fillId="0" borderId="10" xfId="0" applyFont="1" applyBorder="1" applyAlignment="1">
      <alignment horizontal="right" vertical="top"/>
    </xf>
    <xf numFmtId="0" fontId="3" fillId="0" borderId="0" xfId="2" applyFont="1" applyAlignment="1">
      <alignment horizontal="left" vertical="top"/>
    </xf>
    <xf numFmtId="0" fontId="3" fillId="0" borderId="0" xfId="2" applyFont="1" applyAlignment="1">
      <alignment horizontal="left" vertical="top" wrapText="1"/>
    </xf>
    <xf numFmtId="0" fontId="4" fillId="0" borderId="0" xfId="2" applyFont="1" applyAlignment="1">
      <alignment vertical="top" wrapText="1"/>
    </xf>
    <xf numFmtId="0" fontId="4" fillId="0" borderId="0" xfId="2" applyFont="1" applyAlignment="1">
      <alignment horizontal="left" vertical="top" wrapText="1"/>
    </xf>
    <xf numFmtId="0" fontId="3" fillId="0" borderId="0" xfId="2" applyFont="1" applyAlignment="1">
      <alignment horizontal="center" vertical="top"/>
    </xf>
    <xf numFmtId="2" fontId="3" fillId="0" borderId="0" xfId="2" applyNumberFormat="1" applyFont="1" applyAlignment="1">
      <alignment horizontal="center" vertical="center"/>
    </xf>
    <xf numFmtId="0" fontId="10" fillId="0" borderId="0" xfId="2" applyFont="1" applyAlignment="1">
      <alignment horizontal="left"/>
    </xf>
    <xf numFmtId="0" fontId="3" fillId="0" borderId="0" xfId="2" applyFont="1" applyAlignment="1">
      <alignment horizontal="left"/>
    </xf>
    <xf numFmtId="0" fontId="3" fillId="0" borderId="0" xfId="2" applyFont="1" applyAlignment="1">
      <alignment wrapText="1"/>
    </xf>
    <xf numFmtId="0" fontId="4" fillId="0" borderId="0" xfId="2" applyFont="1" applyAlignment="1">
      <alignment vertical="center" wrapText="1"/>
    </xf>
    <xf numFmtId="3" fontId="4" fillId="0" borderId="0" xfId="2" applyNumberFormat="1" applyFont="1" applyAlignment="1">
      <alignment horizontal="left"/>
    </xf>
    <xf numFmtId="0" fontId="11" fillId="0" borderId="0" xfId="0" applyFont="1" applyAlignment="1">
      <alignment vertical="center" wrapText="1"/>
    </xf>
    <xf numFmtId="0" fontId="12" fillId="0" borderId="0" xfId="0" applyFont="1" applyAlignment="1">
      <alignment vertical="center"/>
    </xf>
    <xf numFmtId="0" fontId="15" fillId="0" borderId="0" xfId="0" applyFont="1" applyAlignment="1">
      <alignment horizontal="center" vertical="center"/>
    </xf>
    <xf numFmtId="0" fontId="7" fillId="0" borderId="0" xfId="0" applyFont="1" applyAlignment="1">
      <alignment vertical="center"/>
    </xf>
    <xf numFmtId="0" fontId="10" fillId="0" borderId="0" xfId="2" applyFont="1" applyAlignment="1">
      <alignment horizontal="center" vertical="center"/>
    </xf>
    <xf numFmtId="0" fontId="10" fillId="0" borderId="0" xfId="0" applyFont="1" applyAlignment="1">
      <alignment horizontal="center" vertical="center" wrapText="1"/>
    </xf>
    <xf numFmtId="0" fontId="3" fillId="0" borderId="0" xfId="2" applyFont="1" applyAlignment="1">
      <alignment vertical="top" wrapText="1"/>
    </xf>
    <xf numFmtId="0" fontId="3" fillId="0" borderId="0" xfId="0" applyFont="1" applyAlignment="1">
      <alignment horizontal="left" vertical="center"/>
    </xf>
    <xf numFmtId="0" fontId="4" fillId="0" borderId="0" xfId="0" applyFont="1" applyAlignment="1">
      <alignment horizontal="center" vertical="center"/>
    </xf>
    <xf numFmtId="2" fontId="3" fillId="0" borderId="0" xfId="0" applyNumberFormat="1"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2" fontId="13" fillId="0" borderId="0" xfId="0" applyNumberFormat="1" applyFont="1" applyAlignment="1">
      <alignment horizontal="center" vertical="center"/>
    </xf>
    <xf numFmtId="2" fontId="10" fillId="0" borderId="0" xfId="0" applyNumberFormat="1" applyFont="1"/>
    <xf numFmtId="0" fontId="10" fillId="2" borderId="0" xfId="0" applyFont="1" applyFill="1" applyAlignment="1">
      <alignment horizontal="center"/>
    </xf>
    <xf numFmtId="0" fontId="13" fillId="2" borderId="0" xfId="0" applyFont="1" applyFill="1" applyAlignment="1">
      <alignment horizontal="center" vertical="center"/>
    </xf>
    <xf numFmtId="2" fontId="13" fillId="2" borderId="0" xfId="0" applyNumberFormat="1" applyFont="1" applyFill="1" applyAlignment="1">
      <alignment horizontal="center" vertical="center"/>
    </xf>
    <xf numFmtId="0" fontId="3" fillId="2" borderId="0" xfId="0" applyFont="1" applyFill="1" applyAlignment="1">
      <alignment horizontal="center" vertical="center" wrapText="1"/>
    </xf>
    <xf numFmtId="0" fontId="4" fillId="2" borderId="0" xfId="0" applyFont="1" applyFill="1" applyAlignment="1">
      <alignment horizontal="right" vertical="center"/>
    </xf>
    <xf numFmtId="2" fontId="4" fillId="2" borderId="0" xfId="0" applyNumberFormat="1" applyFont="1" applyFill="1" applyAlignment="1">
      <alignment horizontal="center" vertical="center" wrapText="1"/>
    </xf>
    <xf numFmtId="0" fontId="4" fillId="2" borderId="0" xfId="0" applyFont="1" applyFill="1" applyAlignment="1">
      <alignment horizontal="left" vertical="center" wrapText="1"/>
    </xf>
    <xf numFmtId="2" fontId="7" fillId="0" borderId="0" xfId="0" applyNumberFormat="1" applyFont="1" applyAlignment="1">
      <alignment horizontal="center" vertical="center"/>
    </xf>
    <xf numFmtId="0" fontId="13" fillId="0" borderId="0" xfId="0" applyFont="1" applyAlignment="1">
      <alignment horizontal="left" vertical="center"/>
    </xf>
    <xf numFmtId="0" fontId="13" fillId="2" borderId="0" xfId="0" applyFont="1" applyFill="1" applyAlignment="1">
      <alignment horizontal="left" vertical="center"/>
    </xf>
    <xf numFmtId="0" fontId="10" fillId="0" borderId="0" xfId="0" applyFont="1" applyAlignment="1">
      <alignment horizontal="left"/>
    </xf>
    <xf numFmtId="0" fontId="30" fillId="0" borderId="10" xfId="0" applyFont="1" applyBorder="1" applyAlignment="1">
      <alignment vertical="center"/>
    </xf>
    <xf numFmtId="166" fontId="10" fillId="0" borderId="2" xfId="0" applyNumberFormat="1" applyFont="1" applyBorder="1" applyAlignment="1">
      <alignment horizontal="center" vertical="center"/>
    </xf>
    <xf numFmtId="9" fontId="10" fillId="0" borderId="0" xfId="0" applyNumberFormat="1" applyFont="1" applyAlignment="1">
      <alignment horizontal="center"/>
    </xf>
    <xf numFmtId="0" fontId="25" fillId="0" borderId="9" xfId="0" applyFont="1" applyBorder="1" applyAlignment="1">
      <alignment horizontal="center" vertical="center"/>
    </xf>
    <xf numFmtId="0" fontId="25" fillId="0" borderId="0" xfId="0" applyFont="1" applyAlignment="1">
      <alignment horizontal="center" vertical="center"/>
    </xf>
    <xf numFmtId="0" fontId="25" fillId="0" borderId="10" xfId="0" applyFont="1" applyBorder="1" applyAlignment="1">
      <alignment horizontal="center" vertical="center"/>
    </xf>
    <xf numFmtId="0" fontId="26" fillId="0" borderId="9" xfId="0" applyFont="1" applyBorder="1" applyAlignment="1">
      <alignment horizontal="center" vertical="center"/>
    </xf>
    <xf numFmtId="0" fontId="26" fillId="0" borderId="0" xfId="0" applyFont="1" applyAlignment="1">
      <alignment horizontal="center" vertical="center"/>
    </xf>
    <xf numFmtId="0" fontId="26" fillId="0" borderId="10" xfId="0" applyFont="1" applyBorder="1" applyAlignment="1">
      <alignment horizontal="center" vertical="center"/>
    </xf>
    <xf numFmtId="0" fontId="26" fillId="0" borderId="11" xfId="0" applyFont="1" applyBorder="1" applyAlignment="1">
      <alignment horizontal="center" vertical="center" wrapText="1"/>
    </xf>
    <xf numFmtId="0" fontId="26" fillId="0" borderId="12" xfId="0" applyFont="1" applyBorder="1" applyAlignment="1">
      <alignment horizontal="center" vertical="center" wrapText="1"/>
    </xf>
    <xf numFmtId="0" fontId="26" fillId="0" borderId="13" xfId="0" applyFont="1" applyBorder="1" applyAlignment="1">
      <alignment horizontal="center" vertical="center" wrapText="1"/>
    </xf>
    <xf numFmtId="0" fontId="29" fillId="0" borderId="9" xfId="0" applyFont="1" applyBorder="1" applyAlignment="1">
      <alignment horizontal="center" vertical="center"/>
    </xf>
    <xf numFmtId="0" fontId="29" fillId="0" borderId="0" xfId="0" applyFont="1" applyAlignment="1">
      <alignment horizontal="center" vertical="center"/>
    </xf>
    <xf numFmtId="0" fontId="29" fillId="0" borderId="10" xfId="0" applyFont="1" applyBorder="1" applyAlignment="1">
      <alignment horizontal="center" vertical="center"/>
    </xf>
    <xf numFmtId="0" fontId="30" fillId="0" borderId="9" xfId="0" applyFont="1" applyBorder="1" applyAlignment="1">
      <alignment horizontal="justify" vertical="center" wrapText="1"/>
    </xf>
    <xf numFmtId="0" fontId="30" fillId="0" borderId="0" xfId="0" applyFont="1" applyAlignment="1">
      <alignment horizontal="justify" vertical="center" wrapText="1"/>
    </xf>
    <xf numFmtId="0" fontId="30" fillId="0" borderId="10" xfId="0" applyFont="1" applyBorder="1" applyAlignment="1">
      <alignment horizontal="justify" vertical="center" wrapText="1"/>
    </xf>
    <xf numFmtId="0" fontId="2" fillId="0" borderId="0" xfId="0" applyFont="1" applyAlignment="1">
      <alignment horizontal="center" vertical="center"/>
    </xf>
    <xf numFmtId="0" fontId="2" fillId="0" borderId="10" xfId="0" applyFont="1" applyBorder="1" applyAlignment="1">
      <alignment horizontal="center" vertical="center"/>
    </xf>
    <xf numFmtId="0" fontId="26" fillId="0" borderId="9" xfId="0" applyFont="1" applyBorder="1" applyAlignment="1">
      <alignment horizontal="center" vertical="center" wrapText="1"/>
    </xf>
    <xf numFmtId="0" fontId="4" fillId="0" borderId="0" xfId="2" applyFont="1" applyAlignment="1">
      <alignment horizontal="center" vertical="center"/>
    </xf>
    <xf numFmtId="0" fontId="3" fillId="0" borderId="0" xfId="2" quotePrefix="1" applyFont="1" applyAlignment="1">
      <alignment horizontal="justify" vertical="center" wrapText="1"/>
    </xf>
    <xf numFmtId="0" fontId="3" fillId="0" borderId="0" xfId="2" applyFont="1" applyAlignment="1">
      <alignment horizontal="justify" vertical="center" wrapText="1"/>
    </xf>
    <xf numFmtId="0" fontId="2" fillId="0" borderId="0" xfId="2" applyFont="1" applyAlignment="1">
      <alignment horizontal="center" vertical="center" wrapText="1"/>
    </xf>
    <xf numFmtId="0" fontId="3" fillId="0" borderId="0" xfId="2" applyFont="1" applyAlignment="1">
      <alignment horizontal="center" vertical="center" wrapText="1"/>
    </xf>
    <xf numFmtId="0" fontId="0" fillId="0" borderId="0" xfId="0" applyAlignment="1">
      <alignment horizontal="center" vertical="center" wrapText="1"/>
    </xf>
    <xf numFmtId="0" fontId="4" fillId="0" borderId="0" xfId="2" applyFont="1" applyAlignment="1">
      <alignment horizontal="center" vertical="center" wrapText="1"/>
    </xf>
    <xf numFmtId="0" fontId="5" fillId="0" borderId="0" xfId="2" applyFont="1" applyAlignment="1">
      <alignment horizontal="center" vertical="center" wrapText="1"/>
    </xf>
    <xf numFmtId="0" fontId="19" fillId="0" borderId="0" xfId="0" applyFont="1" applyAlignment="1">
      <alignment horizontal="center" vertical="center" wrapText="1"/>
    </xf>
    <xf numFmtId="0" fontId="4" fillId="0" borderId="0" xfId="2" applyFont="1" applyAlignment="1">
      <alignment horizontal="left" vertical="center"/>
    </xf>
    <xf numFmtId="0" fontId="3" fillId="0" borderId="0" xfId="2" applyFont="1" applyAlignment="1">
      <alignment horizontal="left" vertical="center"/>
    </xf>
    <xf numFmtId="3" fontId="3" fillId="0" borderId="0" xfId="2" applyNumberFormat="1" applyFont="1" applyAlignment="1">
      <alignment horizontal="left" vertical="center"/>
    </xf>
    <xf numFmtId="1" fontId="3" fillId="0" borderId="0" xfId="2" applyNumberFormat="1" applyFont="1" applyAlignment="1">
      <alignment horizontal="left" vertical="center"/>
    </xf>
    <xf numFmtId="0" fontId="12" fillId="0" borderId="0" xfId="0" applyFont="1" applyAlignment="1">
      <alignment horizontal="center" vertical="center" wrapText="1"/>
    </xf>
    <xf numFmtId="1" fontId="13" fillId="0" borderId="2" xfId="0" applyNumberFormat="1" applyFont="1" applyBorder="1" applyAlignment="1">
      <alignment horizontal="right" vertical="center"/>
    </xf>
    <xf numFmtId="1" fontId="13" fillId="0" borderId="3" xfId="0" applyNumberFormat="1" applyFont="1" applyBorder="1" applyAlignment="1">
      <alignment horizontal="right" vertical="center"/>
    </xf>
    <xf numFmtId="1" fontId="13" fillId="0" borderId="4" xfId="0" applyNumberFormat="1" applyFont="1" applyBorder="1" applyAlignment="1">
      <alignment horizontal="right" vertical="center"/>
    </xf>
    <xf numFmtId="0" fontId="11" fillId="0" borderId="0" xfId="0" applyFont="1" applyAlignment="1">
      <alignment horizontal="center" vertical="center"/>
    </xf>
    <xf numFmtId="0" fontId="10" fillId="0" borderId="0" xfId="0" applyFont="1" applyAlignment="1">
      <alignment horizontal="center" vertical="center"/>
    </xf>
    <xf numFmtId="0" fontId="13" fillId="0" borderId="0" xfId="0" applyFont="1" applyAlignment="1">
      <alignment horizontal="center" vertical="center" wrapText="1"/>
    </xf>
    <xf numFmtId="0" fontId="10" fillId="0" borderId="0" xfId="2" applyFont="1" applyAlignment="1">
      <alignment horizontal="left" vertical="center"/>
    </xf>
    <xf numFmtId="0" fontId="13" fillId="0" borderId="0" xfId="2" applyFont="1" applyAlignment="1">
      <alignment horizontal="left" vertical="center"/>
    </xf>
    <xf numFmtId="0" fontId="13" fillId="0" borderId="0" xfId="2" applyFont="1" applyAlignment="1">
      <alignment horizontal="center" vertical="center"/>
    </xf>
    <xf numFmtId="0" fontId="14" fillId="0" borderId="0" xfId="0" applyFont="1" applyAlignment="1">
      <alignment horizontal="left" vertical="center"/>
    </xf>
    <xf numFmtId="0" fontId="12" fillId="0" borderId="0" xfId="0" applyFont="1" applyAlignment="1">
      <alignment horizontal="left" vertical="center"/>
    </xf>
    <xf numFmtId="3" fontId="10"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left" vertical="center" wrapText="1"/>
    </xf>
    <xf numFmtId="0" fontId="11" fillId="0" borderId="0" xfId="0" applyFont="1" applyAlignment="1">
      <alignment horizontal="center" vertical="center" wrapText="1"/>
    </xf>
  </cellXfs>
  <cellStyles count="3">
    <cellStyle name="Comma" xfId="1" builtinId="3"/>
    <cellStyle name="Normal" xfId="0" builtinId="0"/>
    <cellStyle name="Normal 2" xfId="2" xr:uid="{EA64331D-03C3-44D1-AD7C-3C3D6C6F65E6}"/>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457200</xdr:colOff>
      <xdr:row>10</xdr:row>
      <xdr:rowOff>114301</xdr:rowOff>
    </xdr:from>
    <xdr:to>
      <xdr:col>5</xdr:col>
      <xdr:colOff>571500</xdr:colOff>
      <xdr:row>17</xdr:row>
      <xdr:rowOff>170447</xdr:rowOff>
    </xdr:to>
    <xdr:pic>
      <xdr:nvPicPr>
        <xdr:cNvPr id="3" name="Picture 2">
          <a:extLst>
            <a:ext uri="{FF2B5EF4-FFF2-40B4-BE49-F238E27FC236}">
              <a16:creationId xmlns:a16="http://schemas.microsoft.com/office/drawing/2014/main" id="{6CD34CC6-52E9-4B0C-8047-E769953384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1489" y="2290012"/>
          <a:ext cx="1788695" cy="1880935"/>
        </a:xfrm>
        <a:prstGeom prst="rect">
          <a:avLst/>
        </a:prstGeom>
      </xdr:spPr>
    </xdr:pic>
    <xdr:clientData/>
  </xdr:twoCellAnchor>
  <xdr:twoCellAnchor editAs="oneCell">
    <xdr:from>
      <xdr:col>4</xdr:col>
      <xdr:colOff>228601</xdr:colOff>
      <xdr:row>0</xdr:row>
      <xdr:rowOff>76201</xdr:rowOff>
    </xdr:from>
    <xdr:to>
      <xdr:col>4</xdr:col>
      <xdr:colOff>480060</xdr:colOff>
      <xdr:row>5</xdr:row>
      <xdr:rowOff>5694</xdr:rowOff>
    </xdr:to>
    <xdr:pic>
      <xdr:nvPicPr>
        <xdr:cNvPr id="4" name="Picture 3">
          <a:extLst>
            <a:ext uri="{FF2B5EF4-FFF2-40B4-BE49-F238E27FC236}">
              <a16:creationId xmlns:a16="http://schemas.microsoft.com/office/drawing/2014/main" id="{C9BE21FC-0FF8-4E09-AC76-20FEAAAF12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03221" y="76201"/>
          <a:ext cx="251459" cy="3566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ID-Khamgaon\Bhon\VALUATION%20ESTIMATE%20BHON-%20VINAY%20-%20Copy\For%20Print\189%20ASHA%20SHANKAR%20KOLHE.xlsx" TargetMode="External"/><Relationship Id="rId1" Type="http://schemas.openxmlformats.org/officeDocument/2006/relationships/externalLinkPath" Target="file:///G:\MID-Khamgaon\Bhon\VALUATION%20ESTIMATE%20BHON-%20VINAY%20-%20Copy\For%20Print\Print%20Done\189%20ASHA%20SHANKAR%20KOLHE.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189.2%20=%20SATYABHAMABAI%20RAMESH%20MAHOKAR.xlsx" TargetMode="External"/><Relationship Id="rId2" Type="http://schemas.openxmlformats.org/officeDocument/2006/relationships/externalLinkPath" Target="file:///C:\Users\SSE\Downloads\189.2%20=%20SATYABHAMABAI%20RAMESH%20MAHOKAR.xlsx" TargetMode="External"/><Relationship Id="rId1" Type="http://schemas.openxmlformats.org/officeDocument/2006/relationships/externalLinkPath" Target="/Users/SSE/Downloads/189.2%20=%20SATYABHAMABAI%20RAMESH%20MAHOKA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
      <sheetName val="FS"/>
      <sheetName val="DEP"/>
      <sheetName val="ABSTRACT"/>
      <sheetName val="MS"/>
      <sheetName val="RA"/>
      <sheetName val="YP"/>
      <sheetName val="Sheet1"/>
    </sheetNames>
    <sheetDataSet>
      <sheetData sheetId="0"/>
      <sheetData sheetId="1">
        <row r="13">
          <cell r="G13" t="str">
            <v>L.A. Case No: 03/2021-22</v>
          </cell>
        </row>
      </sheetData>
      <sheetData sheetId="2"/>
      <sheetData sheetId="3"/>
      <sheetData sheetId="4">
        <row r="3">
          <cell r="A3" t="str">
            <v xml:space="preserve">Name of Work:- Valuation of Properties on the Land of Village:Bhon (Tal: Sangrampur, Dist: Buldana)  </v>
          </cell>
        </row>
      </sheetData>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COVER (CANC)"/>
      <sheetName val="FS"/>
      <sheetName val="DEP"/>
      <sheetName val="ABSTRACT"/>
      <sheetName val="MS"/>
      <sheetName val="Sheet2"/>
      <sheetName val="RA"/>
      <sheetName val="YP"/>
      <sheetName val="Sheet1"/>
    </sheetNames>
    <sheetDataSet>
      <sheetData sheetId="0"/>
      <sheetData sheetId="1"/>
      <sheetData sheetId="2"/>
      <sheetData sheetId="3">
        <row r="6">
          <cell r="F6" t="str">
            <v>L.A. Case No: 03/2021-22</v>
          </cell>
        </row>
      </sheetData>
      <sheetData sheetId="4">
        <row r="3">
          <cell r="A3" t="str">
            <v xml:space="preserve">Name of Work:- Valuation of Properties on the Land of Village:Bhon (Tal: Sangrampur, Dist: Buldana)  </v>
          </cell>
        </row>
        <row r="36">
          <cell r="B36" t="str">
            <v>(V.B.Nagose )</v>
          </cell>
        </row>
        <row r="37">
          <cell r="B37" t="str">
            <v>JE</v>
          </cell>
        </row>
        <row r="42">
          <cell r="B42" t="str">
            <v>JE/AE-2</v>
          </cell>
        </row>
      </sheetData>
      <sheetData sheetId="5">
        <row r="130">
          <cell r="A130" t="str">
            <v>(V.B.Nagose )</v>
          </cell>
        </row>
        <row r="131">
          <cell r="A131" t="str">
            <v>JE</v>
          </cell>
          <cell r="F131" t="str">
            <v>JE/AE-2</v>
          </cell>
        </row>
      </sheetData>
      <sheetData sheetId="6"/>
      <sheetData sheetId="7">
        <row r="6">
          <cell r="A6" t="str">
            <v>L.A. Case No: 03/2021-22</v>
          </cell>
        </row>
      </sheetData>
      <sheetData sheetId="8"/>
      <sheetData sheetId="9"/>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C3E8D-A724-410A-A638-37E918BBFB5A}">
  <dimension ref="A1:I29"/>
  <sheetViews>
    <sheetView tabSelected="1" view="pageBreakPreview" zoomScale="76" zoomScaleNormal="100" workbookViewId="0">
      <selection activeCell="O22" sqref="O22"/>
    </sheetView>
  </sheetViews>
  <sheetFormatPr defaultRowHeight="34.200000000000003" customHeight="1" x14ac:dyDescent="0.25"/>
  <cols>
    <col min="1" max="1" width="9.77734375" style="2" customWidth="1"/>
    <col min="2" max="2" width="10.109375" style="2" customWidth="1"/>
    <col min="3" max="3" width="4" style="2" customWidth="1"/>
    <col min="4" max="4" width="15.109375" style="2" customWidth="1"/>
    <col min="5" max="5" width="9.33203125" style="2" customWidth="1"/>
    <col min="6" max="6" width="10.5546875" style="2" customWidth="1"/>
    <col min="7" max="7" width="10.21875" style="2" customWidth="1"/>
    <col min="8" max="8" width="8.44140625" style="2" customWidth="1"/>
    <col min="9" max="9" width="9.44140625" style="2" customWidth="1"/>
    <col min="10" max="257" width="8.88671875" style="2"/>
    <col min="258" max="258" width="8.109375" style="2" customWidth="1"/>
    <col min="259" max="259" width="8.33203125" style="2" bestFit="1" customWidth="1"/>
    <col min="260" max="262" width="8.88671875" style="2"/>
    <col min="263" max="263" width="9" style="2" bestFit="1" customWidth="1"/>
    <col min="264" max="264" width="8.88671875" style="2"/>
    <col min="265" max="265" width="7.5546875" style="2" customWidth="1"/>
    <col min="266" max="513" width="8.88671875" style="2"/>
    <col min="514" max="514" width="8.109375" style="2" customWidth="1"/>
    <col min="515" max="515" width="8.33203125" style="2" bestFit="1" customWidth="1"/>
    <col min="516" max="518" width="8.88671875" style="2"/>
    <col min="519" max="519" width="9" style="2" bestFit="1" customWidth="1"/>
    <col min="520" max="520" width="8.88671875" style="2"/>
    <col min="521" max="521" width="7.5546875" style="2" customWidth="1"/>
    <col min="522" max="769" width="8.88671875" style="2"/>
    <col min="770" max="770" width="8.109375" style="2" customWidth="1"/>
    <col min="771" max="771" width="8.33203125" style="2" bestFit="1" customWidth="1"/>
    <col min="772" max="774" width="8.88671875" style="2"/>
    <col min="775" max="775" width="9" style="2" bestFit="1" customWidth="1"/>
    <col min="776" max="776" width="8.88671875" style="2"/>
    <col min="777" max="777" width="7.5546875" style="2" customWidth="1"/>
    <col min="778" max="1025" width="8.88671875" style="2"/>
    <col min="1026" max="1026" width="8.109375" style="2" customWidth="1"/>
    <col min="1027" max="1027" width="8.33203125" style="2" bestFit="1" customWidth="1"/>
    <col min="1028" max="1030" width="8.88671875" style="2"/>
    <col min="1031" max="1031" width="9" style="2" bestFit="1" customWidth="1"/>
    <col min="1032" max="1032" width="8.88671875" style="2"/>
    <col min="1033" max="1033" width="7.5546875" style="2" customWidth="1"/>
    <col min="1034" max="1281" width="8.88671875" style="2"/>
    <col min="1282" max="1282" width="8.109375" style="2" customWidth="1"/>
    <col min="1283" max="1283" width="8.33203125" style="2" bestFit="1" customWidth="1"/>
    <col min="1284" max="1286" width="8.88671875" style="2"/>
    <col min="1287" max="1287" width="9" style="2" bestFit="1" customWidth="1"/>
    <col min="1288" max="1288" width="8.88671875" style="2"/>
    <col min="1289" max="1289" width="7.5546875" style="2" customWidth="1"/>
    <col min="1290" max="1537" width="8.88671875" style="2"/>
    <col min="1538" max="1538" width="8.109375" style="2" customWidth="1"/>
    <col min="1539" max="1539" width="8.33203125" style="2" bestFit="1" customWidth="1"/>
    <col min="1540" max="1542" width="8.88671875" style="2"/>
    <col min="1543" max="1543" width="9" style="2" bestFit="1" customWidth="1"/>
    <col min="1544" max="1544" width="8.88671875" style="2"/>
    <col min="1545" max="1545" width="7.5546875" style="2" customWidth="1"/>
    <col min="1546" max="1793" width="8.88671875" style="2"/>
    <col min="1794" max="1794" width="8.109375" style="2" customWidth="1"/>
    <col min="1795" max="1795" width="8.33203125" style="2" bestFit="1" customWidth="1"/>
    <col min="1796" max="1798" width="8.88671875" style="2"/>
    <col min="1799" max="1799" width="9" style="2" bestFit="1" customWidth="1"/>
    <col min="1800" max="1800" width="8.88671875" style="2"/>
    <col min="1801" max="1801" width="7.5546875" style="2" customWidth="1"/>
    <col min="1802" max="2049" width="8.88671875" style="2"/>
    <col min="2050" max="2050" width="8.109375" style="2" customWidth="1"/>
    <col min="2051" max="2051" width="8.33203125" style="2" bestFit="1" customWidth="1"/>
    <col min="2052" max="2054" width="8.88671875" style="2"/>
    <col min="2055" max="2055" width="9" style="2" bestFit="1" customWidth="1"/>
    <col min="2056" max="2056" width="8.88671875" style="2"/>
    <col min="2057" max="2057" width="7.5546875" style="2" customWidth="1"/>
    <col min="2058" max="2305" width="8.88671875" style="2"/>
    <col min="2306" max="2306" width="8.109375" style="2" customWidth="1"/>
    <col min="2307" max="2307" width="8.33203125" style="2" bestFit="1" customWidth="1"/>
    <col min="2308" max="2310" width="8.88671875" style="2"/>
    <col min="2311" max="2311" width="9" style="2" bestFit="1" customWidth="1"/>
    <col min="2312" max="2312" width="8.88671875" style="2"/>
    <col min="2313" max="2313" width="7.5546875" style="2" customWidth="1"/>
    <col min="2314" max="2561" width="8.88671875" style="2"/>
    <col min="2562" max="2562" width="8.109375" style="2" customWidth="1"/>
    <col min="2563" max="2563" width="8.33203125" style="2" bestFit="1" customWidth="1"/>
    <col min="2564" max="2566" width="8.88671875" style="2"/>
    <col min="2567" max="2567" width="9" style="2" bestFit="1" customWidth="1"/>
    <col min="2568" max="2568" width="8.88671875" style="2"/>
    <col min="2569" max="2569" width="7.5546875" style="2" customWidth="1"/>
    <col min="2570" max="2817" width="8.88671875" style="2"/>
    <col min="2818" max="2818" width="8.109375" style="2" customWidth="1"/>
    <col min="2819" max="2819" width="8.33203125" style="2" bestFit="1" customWidth="1"/>
    <col min="2820" max="2822" width="8.88671875" style="2"/>
    <col min="2823" max="2823" width="9" style="2" bestFit="1" customWidth="1"/>
    <col min="2824" max="2824" width="8.88671875" style="2"/>
    <col min="2825" max="2825" width="7.5546875" style="2" customWidth="1"/>
    <col min="2826" max="3073" width="8.88671875" style="2"/>
    <col min="3074" max="3074" width="8.109375" style="2" customWidth="1"/>
    <col min="3075" max="3075" width="8.33203125" style="2" bestFit="1" customWidth="1"/>
    <col min="3076" max="3078" width="8.88671875" style="2"/>
    <col min="3079" max="3079" width="9" style="2" bestFit="1" customWidth="1"/>
    <col min="3080" max="3080" width="8.88671875" style="2"/>
    <col min="3081" max="3081" width="7.5546875" style="2" customWidth="1"/>
    <col min="3082" max="3329" width="8.88671875" style="2"/>
    <col min="3330" max="3330" width="8.109375" style="2" customWidth="1"/>
    <col min="3331" max="3331" width="8.33203125" style="2" bestFit="1" customWidth="1"/>
    <col min="3332" max="3334" width="8.88671875" style="2"/>
    <col min="3335" max="3335" width="9" style="2" bestFit="1" customWidth="1"/>
    <col min="3336" max="3336" width="8.88671875" style="2"/>
    <col min="3337" max="3337" width="7.5546875" style="2" customWidth="1"/>
    <col min="3338" max="3585" width="8.88671875" style="2"/>
    <col min="3586" max="3586" width="8.109375" style="2" customWidth="1"/>
    <col min="3587" max="3587" width="8.33203125" style="2" bestFit="1" customWidth="1"/>
    <col min="3588" max="3590" width="8.88671875" style="2"/>
    <col min="3591" max="3591" width="9" style="2" bestFit="1" customWidth="1"/>
    <col min="3592" max="3592" width="8.88671875" style="2"/>
    <col min="3593" max="3593" width="7.5546875" style="2" customWidth="1"/>
    <col min="3594" max="3841" width="8.88671875" style="2"/>
    <col min="3842" max="3842" width="8.109375" style="2" customWidth="1"/>
    <col min="3843" max="3843" width="8.33203125" style="2" bestFit="1" customWidth="1"/>
    <col min="3844" max="3846" width="8.88671875" style="2"/>
    <col min="3847" max="3847" width="9" style="2" bestFit="1" customWidth="1"/>
    <col min="3848" max="3848" width="8.88671875" style="2"/>
    <col min="3849" max="3849" width="7.5546875" style="2" customWidth="1"/>
    <col min="3850" max="4097" width="8.88671875" style="2"/>
    <col min="4098" max="4098" width="8.109375" style="2" customWidth="1"/>
    <col min="4099" max="4099" width="8.33203125" style="2" bestFit="1" customWidth="1"/>
    <col min="4100" max="4102" width="8.88671875" style="2"/>
    <col min="4103" max="4103" width="9" style="2" bestFit="1" customWidth="1"/>
    <col min="4104" max="4104" width="8.88671875" style="2"/>
    <col min="4105" max="4105" width="7.5546875" style="2" customWidth="1"/>
    <col min="4106" max="4353" width="8.88671875" style="2"/>
    <col min="4354" max="4354" width="8.109375" style="2" customWidth="1"/>
    <col min="4355" max="4355" width="8.33203125" style="2" bestFit="1" customWidth="1"/>
    <col min="4356" max="4358" width="8.88671875" style="2"/>
    <col min="4359" max="4359" width="9" style="2" bestFit="1" customWidth="1"/>
    <col min="4360" max="4360" width="8.88671875" style="2"/>
    <col min="4361" max="4361" width="7.5546875" style="2" customWidth="1"/>
    <col min="4362" max="4609" width="8.88671875" style="2"/>
    <col min="4610" max="4610" width="8.109375" style="2" customWidth="1"/>
    <col min="4611" max="4611" width="8.33203125" style="2" bestFit="1" customWidth="1"/>
    <col min="4612" max="4614" width="8.88671875" style="2"/>
    <col min="4615" max="4615" width="9" style="2" bestFit="1" customWidth="1"/>
    <col min="4616" max="4616" width="8.88671875" style="2"/>
    <col min="4617" max="4617" width="7.5546875" style="2" customWidth="1"/>
    <col min="4618" max="4865" width="8.88671875" style="2"/>
    <col min="4866" max="4866" width="8.109375" style="2" customWidth="1"/>
    <col min="4867" max="4867" width="8.33203125" style="2" bestFit="1" customWidth="1"/>
    <col min="4868" max="4870" width="8.88671875" style="2"/>
    <col min="4871" max="4871" width="9" style="2" bestFit="1" customWidth="1"/>
    <col min="4872" max="4872" width="8.88671875" style="2"/>
    <col min="4873" max="4873" width="7.5546875" style="2" customWidth="1"/>
    <col min="4874" max="5121" width="8.88671875" style="2"/>
    <col min="5122" max="5122" width="8.109375" style="2" customWidth="1"/>
    <col min="5123" max="5123" width="8.33203125" style="2" bestFit="1" customWidth="1"/>
    <col min="5124" max="5126" width="8.88671875" style="2"/>
    <col min="5127" max="5127" width="9" style="2" bestFit="1" customWidth="1"/>
    <col min="5128" max="5128" width="8.88671875" style="2"/>
    <col min="5129" max="5129" width="7.5546875" style="2" customWidth="1"/>
    <col min="5130" max="5377" width="8.88671875" style="2"/>
    <col min="5378" max="5378" width="8.109375" style="2" customWidth="1"/>
    <col min="5379" max="5379" width="8.33203125" style="2" bestFit="1" customWidth="1"/>
    <col min="5380" max="5382" width="8.88671875" style="2"/>
    <col min="5383" max="5383" width="9" style="2" bestFit="1" customWidth="1"/>
    <col min="5384" max="5384" width="8.88671875" style="2"/>
    <col min="5385" max="5385" width="7.5546875" style="2" customWidth="1"/>
    <col min="5386" max="5633" width="8.88671875" style="2"/>
    <col min="5634" max="5634" width="8.109375" style="2" customWidth="1"/>
    <col min="5635" max="5635" width="8.33203125" style="2" bestFit="1" customWidth="1"/>
    <col min="5636" max="5638" width="8.88671875" style="2"/>
    <col min="5639" max="5639" width="9" style="2" bestFit="1" customWidth="1"/>
    <col min="5640" max="5640" width="8.88671875" style="2"/>
    <col min="5641" max="5641" width="7.5546875" style="2" customWidth="1"/>
    <col min="5642" max="5889" width="8.88671875" style="2"/>
    <col min="5890" max="5890" width="8.109375" style="2" customWidth="1"/>
    <col min="5891" max="5891" width="8.33203125" style="2" bestFit="1" customWidth="1"/>
    <col min="5892" max="5894" width="8.88671875" style="2"/>
    <col min="5895" max="5895" width="9" style="2" bestFit="1" customWidth="1"/>
    <col min="5896" max="5896" width="8.88671875" style="2"/>
    <col min="5897" max="5897" width="7.5546875" style="2" customWidth="1"/>
    <col min="5898" max="6145" width="8.88671875" style="2"/>
    <col min="6146" max="6146" width="8.109375" style="2" customWidth="1"/>
    <col min="6147" max="6147" width="8.33203125" style="2" bestFit="1" customWidth="1"/>
    <col min="6148" max="6150" width="8.88671875" style="2"/>
    <col min="6151" max="6151" width="9" style="2" bestFit="1" customWidth="1"/>
    <col min="6152" max="6152" width="8.88671875" style="2"/>
    <col min="6153" max="6153" width="7.5546875" style="2" customWidth="1"/>
    <col min="6154" max="6401" width="8.88671875" style="2"/>
    <col min="6402" max="6402" width="8.109375" style="2" customWidth="1"/>
    <col min="6403" max="6403" width="8.33203125" style="2" bestFit="1" customWidth="1"/>
    <col min="6404" max="6406" width="8.88671875" style="2"/>
    <col min="6407" max="6407" width="9" style="2" bestFit="1" customWidth="1"/>
    <col min="6408" max="6408" width="8.88671875" style="2"/>
    <col min="6409" max="6409" width="7.5546875" style="2" customWidth="1"/>
    <col min="6410" max="6657" width="8.88671875" style="2"/>
    <col min="6658" max="6658" width="8.109375" style="2" customWidth="1"/>
    <col min="6659" max="6659" width="8.33203125" style="2" bestFit="1" customWidth="1"/>
    <col min="6660" max="6662" width="8.88671875" style="2"/>
    <col min="6663" max="6663" width="9" style="2" bestFit="1" customWidth="1"/>
    <col min="6664" max="6664" width="8.88671875" style="2"/>
    <col min="6665" max="6665" width="7.5546875" style="2" customWidth="1"/>
    <col min="6666" max="6913" width="8.88671875" style="2"/>
    <col min="6914" max="6914" width="8.109375" style="2" customWidth="1"/>
    <col min="6915" max="6915" width="8.33203125" style="2" bestFit="1" customWidth="1"/>
    <col min="6916" max="6918" width="8.88671875" style="2"/>
    <col min="6919" max="6919" width="9" style="2" bestFit="1" customWidth="1"/>
    <col min="6920" max="6920" width="8.88671875" style="2"/>
    <col min="6921" max="6921" width="7.5546875" style="2" customWidth="1"/>
    <col min="6922" max="7169" width="8.88671875" style="2"/>
    <col min="7170" max="7170" width="8.109375" style="2" customWidth="1"/>
    <col min="7171" max="7171" width="8.33203125" style="2" bestFit="1" customWidth="1"/>
    <col min="7172" max="7174" width="8.88671875" style="2"/>
    <col min="7175" max="7175" width="9" style="2" bestFit="1" customWidth="1"/>
    <col min="7176" max="7176" width="8.88671875" style="2"/>
    <col min="7177" max="7177" width="7.5546875" style="2" customWidth="1"/>
    <col min="7178" max="7425" width="8.88671875" style="2"/>
    <col min="7426" max="7426" width="8.109375" style="2" customWidth="1"/>
    <col min="7427" max="7427" width="8.33203125" style="2" bestFit="1" customWidth="1"/>
    <col min="7428" max="7430" width="8.88671875" style="2"/>
    <col min="7431" max="7431" width="9" style="2" bestFit="1" customWidth="1"/>
    <col min="7432" max="7432" width="8.88671875" style="2"/>
    <col min="7433" max="7433" width="7.5546875" style="2" customWidth="1"/>
    <col min="7434" max="7681" width="8.88671875" style="2"/>
    <col min="7682" max="7682" width="8.109375" style="2" customWidth="1"/>
    <col min="7683" max="7683" width="8.33203125" style="2" bestFit="1" customWidth="1"/>
    <col min="7684" max="7686" width="8.88671875" style="2"/>
    <col min="7687" max="7687" width="9" style="2" bestFit="1" customWidth="1"/>
    <col min="7688" max="7688" width="8.88671875" style="2"/>
    <col min="7689" max="7689" width="7.5546875" style="2" customWidth="1"/>
    <col min="7690" max="7937" width="8.88671875" style="2"/>
    <col min="7938" max="7938" width="8.109375" style="2" customWidth="1"/>
    <col min="7939" max="7939" width="8.33203125" style="2" bestFit="1" customWidth="1"/>
    <col min="7940" max="7942" width="8.88671875" style="2"/>
    <col min="7943" max="7943" width="9" style="2" bestFit="1" customWidth="1"/>
    <col min="7944" max="7944" width="8.88671875" style="2"/>
    <col min="7945" max="7945" width="7.5546875" style="2" customWidth="1"/>
    <col min="7946" max="8193" width="8.88671875" style="2"/>
    <col min="8194" max="8194" width="8.109375" style="2" customWidth="1"/>
    <col min="8195" max="8195" width="8.33203125" style="2" bestFit="1" customWidth="1"/>
    <col min="8196" max="8198" width="8.88671875" style="2"/>
    <col min="8199" max="8199" width="9" style="2" bestFit="1" customWidth="1"/>
    <col min="8200" max="8200" width="8.88671875" style="2"/>
    <col min="8201" max="8201" width="7.5546875" style="2" customWidth="1"/>
    <col min="8202" max="8449" width="8.88671875" style="2"/>
    <col min="8450" max="8450" width="8.109375" style="2" customWidth="1"/>
    <col min="8451" max="8451" width="8.33203125" style="2" bestFit="1" customWidth="1"/>
    <col min="8452" max="8454" width="8.88671875" style="2"/>
    <col min="8455" max="8455" width="9" style="2" bestFit="1" customWidth="1"/>
    <col min="8456" max="8456" width="8.88671875" style="2"/>
    <col min="8457" max="8457" width="7.5546875" style="2" customWidth="1"/>
    <col min="8458" max="8705" width="8.88671875" style="2"/>
    <col min="8706" max="8706" width="8.109375" style="2" customWidth="1"/>
    <col min="8707" max="8707" width="8.33203125" style="2" bestFit="1" customWidth="1"/>
    <col min="8708" max="8710" width="8.88671875" style="2"/>
    <col min="8711" max="8711" width="9" style="2" bestFit="1" customWidth="1"/>
    <col min="8712" max="8712" width="8.88671875" style="2"/>
    <col min="8713" max="8713" width="7.5546875" style="2" customWidth="1"/>
    <col min="8714" max="8961" width="8.88671875" style="2"/>
    <col min="8962" max="8962" width="8.109375" style="2" customWidth="1"/>
    <col min="8963" max="8963" width="8.33203125" style="2" bestFit="1" customWidth="1"/>
    <col min="8964" max="8966" width="8.88671875" style="2"/>
    <col min="8967" max="8967" width="9" style="2" bestFit="1" customWidth="1"/>
    <col min="8968" max="8968" width="8.88671875" style="2"/>
    <col min="8969" max="8969" width="7.5546875" style="2" customWidth="1"/>
    <col min="8970" max="9217" width="8.88671875" style="2"/>
    <col min="9218" max="9218" width="8.109375" style="2" customWidth="1"/>
    <col min="9219" max="9219" width="8.33203125" style="2" bestFit="1" customWidth="1"/>
    <col min="9220" max="9222" width="8.88671875" style="2"/>
    <col min="9223" max="9223" width="9" style="2" bestFit="1" customWidth="1"/>
    <col min="9224" max="9224" width="8.88671875" style="2"/>
    <col min="9225" max="9225" width="7.5546875" style="2" customWidth="1"/>
    <col min="9226" max="9473" width="8.88671875" style="2"/>
    <col min="9474" max="9474" width="8.109375" style="2" customWidth="1"/>
    <col min="9475" max="9475" width="8.33203125" style="2" bestFit="1" customWidth="1"/>
    <col min="9476" max="9478" width="8.88671875" style="2"/>
    <col min="9479" max="9479" width="9" style="2" bestFit="1" customWidth="1"/>
    <col min="9480" max="9480" width="8.88671875" style="2"/>
    <col min="9481" max="9481" width="7.5546875" style="2" customWidth="1"/>
    <col min="9482" max="9729" width="8.88671875" style="2"/>
    <col min="9730" max="9730" width="8.109375" style="2" customWidth="1"/>
    <col min="9731" max="9731" width="8.33203125" style="2" bestFit="1" customWidth="1"/>
    <col min="9732" max="9734" width="8.88671875" style="2"/>
    <col min="9735" max="9735" width="9" style="2" bestFit="1" customWidth="1"/>
    <col min="9736" max="9736" width="8.88671875" style="2"/>
    <col min="9737" max="9737" width="7.5546875" style="2" customWidth="1"/>
    <col min="9738" max="9985" width="8.88671875" style="2"/>
    <col min="9986" max="9986" width="8.109375" style="2" customWidth="1"/>
    <col min="9987" max="9987" width="8.33203125" style="2" bestFit="1" customWidth="1"/>
    <col min="9988" max="9990" width="8.88671875" style="2"/>
    <col min="9991" max="9991" width="9" style="2" bestFit="1" customWidth="1"/>
    <col min="9992" max="9992" width="8.88671875" style="2"/>
    <col min="9993" max="9993" width="7.5546875" style="2" customWidth="1"/>
    <col min="9994" max="10241" width="8.88671875" style="2"/>
    <col min="10242" max="10242" width="8.109375" style="2" customWidth="1"/>
    <col min="10243" max="10243" width="8.33203125" style="2" bestFit="1" customWidth="1"/>
    <col min="10244" max="10246" width="8.88671875" style="2"/>
    <col min="10247" max="10247" width="9" style="2" bestFit="1" customWidth="1"/>
    <col min="10248" max="10248" width="8.88671875" style="2"/>
    <col min="10249" max="10249" width="7.5546875" style="2" customWidth="1"/>
    <col min="10250" max="10497" width="8.88671875" style="2"/>
    <col min="10498" max="10498" width="8.109375" style="2" customWidth="1"/>
    <col min="10499" max="10499" width="8.33203125" style="2" bestFit="1" customWidth="1"/>
    <col min="10500" max="10502" width="8.88671875" style="2"/>
    <col min="10503" max="10503" width="9" style="2" bestFit="1" customWidth="1"/>
    <col min="10504" max="10504" width="8.88671875" style="2"/>
    <col min="10505" max="10505" width="7.5546875" style="2" customWidth="1"/>
    <col min="10506" max="10753" width="8.88671875" style="2"/>
    <col min="10754" max="10754" width="8.109375" style="2" customWidth="1"/>
    <col min="10755" max="10755" width="8.33203125" style="2" bestFit="1" customWidth="1"/>
    <col min="10756" max="10758" width="8.88671875" style="2"/>
    <col min="10759" max="10759" width="9" style="2" bestFit="1" customWidth="1"/>
    <col min="10760" max="10760" width="8.88671875" style="2"/>
    <col min="10761" max="10761" width="7.5546875" style="2" customWidth="1"/>
    <col min="10762" max="11009" width="8.88671875" style="2"/>
    <col min="11010" max="11010" width="8.109375" style="2" customWidth="1"/>
    <col min="11011" max="11011" width="8.33203125" style="2" bestFit="1" customWidth="1"/>
    <col min="11012" max="11014" width="8.88671875" style="2"/>
    <col min="11015" max="11015" width="9" style="2" bestFit="1" customWidth="1"/>
    <col min="11016" max="11016" width="8.88671875" style="2"/>
    <col min="11017" max="11017" width="7.5546875" style="2" customWidth="1"/>
    <col min="11018" max="11265" width="8.88671875" style="2"/>
    <col min="11266" max="11266" width="8.109375" style="2" customWidth="1"/>
    <col min="11267" max="11267" width="8.33203125" style="2" bestFit="1" customWidth="1"/>
    <col min="11268" max="11270" width="8.88671875" style="2"/>
    <col min="11271" max="11271" width="9" style="2" bestFit="1" customWidth="1"/>
    <col min="11272" max="11272" width="8.88671875" style="2"/>
    <col min="11273" max="11273" width="7.5546875" style="2" customWidth="1"/>
    <col min="11274" max="11521" width="8.88671875" style="2"/>
    <col min="11522" max="11522" width="8.109375" style="2" customWidth="1"/>
    <col min="11523" max="11523" width="8.33203125" style="2" bestFit="1" customWidth="1"/>
    <col min="11524" max="11526" width="8.88671875" style="2"/>
    <col min="11527" max="11527" width="9" style="2" bestFit="1" customWidth="1"/>
    <col min="11528" max="11528" width="8.88671875" style="2"/>
    <col min="11529" max="11529" width="7.5546875" style="2" customWidth="1"/>
    <col min="11530" max="11777" width="8.88671875" style="2"/>
    <col min="11778" max="11778" width="8.109375" style="2" customWidth="1"/>
    <col min="11779" max="11779" width="8.33203125" style="2" bestFit="1" customWidth="1"/>
    <col min="11780" max="11782" width="8.88671875" style="2"/>
    <col min="11783" max="11783" width="9" style="2" bestFit="1" customWidth="1"/>
    <col min="11784" max="11784" width="8.88671875" style="2"/>
    <col min="11785" max="11785" width="7.5546875" style="2" customWidth="1"/>
    <col min="11786" max="12033" width="8.88671875" style="2"/>
    <col min="12034" max="12034" width="8.109375" style="2" customWidth="1"/>
    <col min="12035" max="12035" width="8.33203125" style="2" bestFit="1" customWidth="1"/>
    <col min="12036" max="12038" width="8.88671875" style="2"/>
    <col min="12039" max="12039" width="9" style="2" bestFit="1" customWidth="1"/>
    <col min="12040" max="12040" width="8.88671875" style="2"/>
    <col min="12041" max="12041" width="7.5546875" style="2" customWidth="1"/>
    <col min="12042" max="12289" width="8.88671875" style="2"/>
    <col min="12290" max="12290" width="8.109375" style="2" customWidth="1"/>
    <col min="12291" max="12291" width="8.33203125" style="2" bestFit="1" customWidth="1"/>
    <col min="12292" max="12294" width="8.88671875" style="2"/>
    <col min="12295" max="12295" width="9" style="2" bestFit="1" customWidth="1"/>
    <col min="12296" max="12296" width="8.88671875" style="2"/>
    <col min="12297" max="12297" width="7.5546875" style="2" customWidth="1"/>
    <col min="12298" max="12545" width="8.88671875" style="2"/>
    <col min="12546" max="12546" width="8.109375" style="2" customWidth="1"/>
    <col min="12547" max="12547" width="8.33203125" style="2" bestFit="1" customWidth="1"/>
    <col min="12548" max="12550" width="8.88671875" style="2"/>
    <col min="12551" max="12551" width="9" style="2" bestFit="1" customWidth="1"/>
    <col min="12552" max="12552" width="8.88671875" style="2"/>
    <col min="12553" max="12553" width="7.5546875" style="2" customWidth="1"/>
    <col min="12554" max="12801" width="8.88671875" style="2"/>
    <col min="12802" max="12802" width="8.109375" style="2" customWidth="1"/>
    <col min="12803" max="12803" width="8.33203125" style="2" bestFit="1" customWidth="1"/>
    <col min="12804" max="12806" width="8.88671875" style="2"/>
    <col min="12807" max="12807" width="9" style="2" bestFit="1" customWidth="1"/>
    <col min="12808" max="12808" width="8.88671875" style="2"/>
    <col min="12809" max="12809" width="7.5546875" style="2" customWidth="1"/>
    <col min="12810" max="13057" width="8.88671875" style="2"/>
    <col min="13058" max="13058" width="8.109375" style="2" customWidth="1"/>
    <col min="13059" max="13059" width="8.33203125" style="2" bestFit="1" customWidth="1"/>
    <col min="13060" max="13062" width="8.88671875" style="2"/>
    <col min="13063" max="13063" width="9" style="2" bestFit="1" customWidth="1"/>
    <col min="13064" max="13064" width="8.88671875" style="2"/>
    <col min="13065" max="13065" width="7.5546875" style="2" customWidth="1"/>
    <col min="13066" max="13313" width="8.88671875" style="2"/>
    <col min="13314" max="13314" width="8.109375" style="2" customWidth="1"/>
    <col min="13315" max="13315" width="8.33203125" style="2" bestFit="1" customWidth="1"/>
    <col min="13316" max="13318" width="8.88671875" style="2"/>
    <col min="13319" max="13319" width="9" style="2" bestFit="1" customWidth="1"/>
    <col min="13320" max="13320" width="8.88671875" style="2"/>
    <col min="13321" max="13321" width="7.5546875" style="2" customWidth="1"/>
    <col min="13322" max="13569" width="8.88671875" style="2"/>
    <col min="13570" max="13570" width="8.109375" style="2" customWidth="1"/>
    <col min="13571" max="13571" width="8.33203125" style="2" bestFit="1" customWidth="1"/>
    <col min="13572" max="13574" width="8.88671875" style="2"/>
    <col min="13575" max="13575" width="9" style="2" bestFit="1" customWidth="1"/>
    <col min="13576" max="13576" width="8.88671875" style="2"/>
    <col min="13577" max="13577" width="7.5546875" style="2" customWidth="1"/>
    <col min="13578" max="13825" width="8.88671875" style="2"/>
    <col min="13826" max="13826" width="8.109375" style="2" customWidth="1"/>
    <col min="13827" max="13827" width="8.33203125" style="2" bestFit="1" customWidth="1"/>
    <col min="13828" max="13830" width="8.88671875" style="2"/>
    <col min="13831" max="13831" width="9" style="2" bestFit="1" customWidth="1"/>
    <col min="13832" max="13832" width="8.88671875" style="2"/>
    <col min="13833" max="13833" width="7.5546875" style="2" customWidth="1"/>
    <col min="13834" max="14081" width="8.88671875" style="2"/>
    <col min="14082" max="14082" width="8.109375" style="2" customWidth="1"/>
    <col min="14083" max="14083" width="8.33203125" style="2" bestFit="1" customWidth="1"/>
    <col min="14084" max="14086" width="8.88671875" style="2"/>
    <col min="14087" max="14087" width="9" style="2" bestFit="1" customWidth="1"/>
    <col min="14088" max="14088" width="8.88671875" style="2"/>
    <col min="14089" max="14089" width="7.5546875" style="2" customWidth="1"/>
    <col min="14090" max="14337" width="8.88671875" style="2"/>
    <col min="14338" max="14338" width="8.109375" style="2" customWidth="1"/>
    <col min="14339" max="14339" width="8.33203125" style="2" bestFit="1" customWidth="1"/>
    <col min="14340" max="14342" width="8.88671875" style="2"/>
    <col min="14343" max="14343" width="9" style="2" bestFit="1" customWidth="1"/>
    <col min="14344" max="14344" width="8.88671875" style="2"/>
    <col min="14345" max="14345" width="7.5546875" style="2" customWidth="1"/>
    <col min="14346" max="14593" width="8.88671875" style="2"/>
    <col min="14594" max="14594" width="8.109375" style="2" customWidth="1"/>
    <col min="14595" max="14595" width="8.33203125" style="2" bestFit="1" customWidth="1"/>
    <col min="14596" max="14598" width="8.88671875" style="2"/>
    <col min="14599" max="14599" width="9" style="2" bestFit="1" customWidth="1"/>
    <col min="14600" max="14600" width="8.88671875" style="2"/>
    <col min="14601" max="14601" width="7.5546875" style="2" customWidth="1"/>
    <col min="14602" max="14849" width="8.88671875" style="2"/>
    <col min="14850" max="14850" width="8.109375" style="2" customWidth="1"/>
    <col min="14851" max="14851" width="8.33203125" style="2" bestFit="1" customWidth="1"/>
    <col min="14852" max="14854" width="8.88671875" style="2"/>
    <col min="14855" max="14855" width="9" style="2" bestFit="1" customWidth="1"/>
    <col min="14856" max="14856" width="8.88671875" style="2"/>
    <col min="14857" max="14857" width="7.5546875" style="2" customWidth="1"/>
    <col min="14858" max="15105" width="8.88671875" style="2"/>
    <col min="15106" max="15106" width="8.109375" style="2" customWidth="1"/>
    <col min="15107" max="15107" width="8.33203125" style="2" bestFit="1" customWidth="1"/>
    <col min="15108" max="15110" width="8.88671875" style="2"/>
    <col min="15111" max="15111" width="9" style="2" bestFit="1" customWidth="1"/>
    <col min="15112" max="15112" width="8.88671875" style="2"/>
    <col min="15113" max="15113" width="7.5546875" style="2" customWidth="1"/>
    <col min="15114" max="15361" width="8.88671875" style="2"/>
    <col min="15362" max="15362" width="8.109375" style="2" customWidth="1"/>
    <col min="15363" max="15363" width="8.33203125" style="2" bestFit="1" customWidth="1"/>
    <col min="15364" max="15366" width="8.88671875" style="2"/>
    <col min="15367" max="15367" width="9" style="2" bestFit="1" customWidth="1"/>
    <col min="15368" max="15368" width="8.88671875" style="2"/>
    <col min="15369" max="15369" width="7.5546875" style="2" customWidth="1"/>
    <col min="15370" max="15617" width="8.88671875" style="2"/>
    <col min="15618" max="15618" width="8.109375" style="2" customWidth="1"/>
    <col min="15619" max="15619" width="8.33203125" style="2" bestFit="1" customWidth="1"/>
    <col min="15620" max="15622" width="8.88671875" style="2"/>
    <col min="15623" max="15623" width="9" style="2" bestFit="1" customWidth="1"/>
    <col min="15624" max="15624" width="8.88671875" style="2"/>
    <col min="15625" max="15625" width="7.5546875" style="2" customWidth="1"/>
    <col min="15626" max="15873" width="8.88671875" style="2"/>
    <col min="15874" max="15874" width="8.109375" style="2" customWidth="1"/>
    <col min="15875" max="15875" width="8.33203125" style="2" bestFit="1" customWidth="1"/>
    <col min="15876" max="15878" width="8.88671875" style="2"/>
    <col min="15879" max="15879" width="9" style="2" bestFit="1" customWidth="1"/>
    <col min="15880" max="15880" width="8.88671875" style="2"/>
    <col min="15881" max="15881" width="7.5546875" style="2" customWidth="1"/>
    <col min="15882" max="16129" width="8.88671875" style="2"/>
    <col min="16130" max="16130" width="8.109375" style="2" customWidth="1"/>
    <col min="16131" max="16131" width="8.33203125" style="2" bestFit="1" customWidth="1"/>
    <col min="16132" max="16134" width="8.88671875" style="2"/>
    <col min="16135" max="16135" width="9" style="2" bestFit="1" customWidth="1"/>
    <col min="16136" max="16136" width="8.88671875" style="2"/>
    <col min="16137" max="16137" width="7.5546875" style="2" customWidth="1"/>
    <col min="16138" max="16384" width="8.88671875" style="2"/>
  </cols>
  <sheetData>
    <row r="1" spans="1:9" ht="13.8" x14ac:dyDescent="0.25">
      <c r="A1" s="88"/>
      <c r="B1" s="89"/>
      <c r="C1" s="89"/>
      <c r="D1" s="89"/>
      <c r="E1" s="89"/>
      <c r="F1" s="89"/>
      <c r="G1" s="89"/>
      <c r="H1" s="89"/>
      <c r="I1" s="90" t="s">
        <v>293</v>
      </c>
    </row>
    <row r="2" spans="1:9" ht="13.8" x14ac:dyDescent="0.25">
      <c r="A2" s="118"/>
      <c r="I2" s="119"/>
    </row>
    <row r="3" spans="1:9" ht="13.8" x14ac:dyDescent="0.25">
      <c r="A3" s="118"/>
      <c r="I3" s="119"/>
    </row>
    <row r="4" spans="1:9" ht="13.8" x14ac:dyDescent="0.25">
      <c r="A4" s="118"/>
      <c r="I4" s="119"/>
    </row>
    <row r="5" spans="1:9" ht="13.8" x14ac:dyDescent="0.25">
      <c r="A5" s="118"/>
      <c r="I5" s="119"/>
    </row>
    <row r="6" spans="1:9" ht="20.399999999999999" x14ac:dyDescent="0.25">
      <c r="A6" s="160" t="s">
        <v>294</v>
      </c>
      <c r="B6" s="161"/>
      <c r="C6" s="161"/>
      <c r="D6" s="161"/>
      <c r="E6" s="161"/>
      <c r="F6" s="161"/>
      <c r="G6" s="161"/>
      <c r="H6" s="161"/>
      <c r="I6" s="162"/>
    </row>
    <row r="7" spans="1:9" ht="20.399999999999999" x14ac:dyDescent="0.25">
      <c r="A7" s="160" t="s">
        <v>295</v>
      </c>
      <c r="B7" s="161"/>
      <c r="C7" s="161"/>
      <c r="D7" s="161"/>
      <c r="E7" s="161"/>
      <c r="F7" s="161"/>
      <c r="G7" s="161"/>
      <c r="H7" s="161"/>
      <c r="I7" s="162"/>
    </row>
    <row r="8" spans="1:9" ht="20.399999999999999" x14ac:dyDescent="0.25">
      <c r="A8" s="160" t="s">
        <v>296</v>
      </c>
      <c r="B8" s="161"/>
      <c r="C8" s="161"/>
      <c r="D8" s="161"/>
      <c r="E8" s="161"/>
      <c r="F8" s="161"/>
      <c r="G8" s="161"/>
      <c r="H8" s="161"/>
      <c r="I8" s="162"/>
    </row>
    <row r="9" spans="1:9" ht="21" x14ac:dyDescent="0.25">
      <c r="A9" s="163" t="s">
        <v>297</v>
      </c>
      <c r="B9" s="164"/>
      <c r="C9" s="164"/>
      <c r="D9" s="164"/>
      <c r="E9" s="164"/>
      <c r="F9" s="164"/>
      <c r="G9" s="164"/>
      <c r="H9" s="164"/>
      <c r="I9" s="165"/>
    </row>
    <row r="10" spans="1:9" ht="21" x14ac:dyDescent="0.25">
      <c r="A10" s="163" t="s">
        <v>298</v>
      </c>
      <c r="B10" s="164"/>
      <c r="C10" s="164"/>
      <c r="D10" s="164"/>
      <c r="E10" s="164"/>
      <c r="F10" s="164"/>
      <c r="G10" s="164"/>
      <c r="H10" s="164"/>
      <c r="I10" s="165"/>
    </row>
    <row r="11" spans="1:9" ht="18" x14ac:dyDescent="0.25">
      <c r="A11" s="91"/>
      <c r="B11" s="92"/>
      <c r="C11" s="92"/>
      <c r="D11" s="92"/>
      <c r="E11" s="92"/>
      <c r="F11" s="92"/>
      <c r="G11" s="92"/>
      <c r="H11" s="92"/>
      <c r="I11" s="93"/>
    </row>
    <row r="12" spans="1:9" ht="18" x14ac:dyDescent="0.25">
      <c r="A12" s="91"/>
      <c r="B12" s="92"/>
      <c r="C12" s="92"/>
      <c r="D12" s="92"/>
      <c r="E12" s="92"/>
      <c r="F12" s="92"/>
      <c r="G12" s="92"/>
      <c r="H12" s="92"/>
      <c r="I12" s="93"/>
    </row>
    <row r="13" spans="1:9" ht="15.6" x14ac:dyDescent="0.25">
      <c r="A13" s="94"/>
      <c r="B13" s="95"/>
      <c r="C13" s="95"/>
      <c r="D13" s="96"/>
      <c r="E13" s="95"/>
      <c r="F13" s="95"/>
      <c r="G13" s="95"/>
      <c r="H13" s="95"/>
      <c r="I13" s="97"/>
    </row>
    <row r="14" spans="1:9" ht="22.8" x14ac:dyDescent="0.25">
      <c r="A14" s="98"/>
      <c r="B14" s="95"/>
      <c r="C14" s="95"/>
      <c r="D14" s="96"/>
      <c r="E14" s="95"/>
      <c r="F14" s="95"/>
      <c r="G14" s="95"/>
      <c r="H14" s="95"/>
      <c r="I14" s="97"/>
    </row>
    <row r="15" spans="1:9" ht="22.8" x14ac:dyDescent="0.25">
      <c r="A15" s="98"/>
      <c r="B15" s="95"/>
      <c r="C15" s="95"/>
      <c r="D15" s="96"/>
      <c r="E15" s="95"/>
      <c r="F15" s="95"/>
      <c r="G15" s="95"/>
      <c r="H15" s="95"/>
      <c r="I15" s="97"/>
    </row>
    <row r="16" spans="1:9" ht="22.8" x14ac:dyDescent="0.25">
      <c r="A16" s="98"/>
      <c r="B16" s="95"/>
      <c r="C16" s="95"/>
      <c r="D16" s="96"/>
      <c r="E16" s="95"/>
      <c r="F16" s="95"/>
      <c r="G16" s="95"/>
      <c r="H16" s="95"/>
      <c r="I16" s="97"/>
    </row>
    <row r="17" spans="1:9" ht="22.8" x14ac:dyDescent="0.25">
      <c r="A17" s="98"/>
      <c r="B17" s="95"/>
      <c r="C17" s="95"/>
      <c r="D17" s="96"/>
      <c r="E17" s="95"/>
      <c r="F17" s="95"/>
      <c r="G17" s="95"/>
      <c r="H17" s="95"/>
      <c r="I17" s="97"/>
    </row>
    <row r="18" spans="1:9" ht="22.8" x14ac:dyDescent="0.25">
      <c r="A18" s="98"/>
      <c r="B18" s="95"/>
      <c r="C18" s="95"/>
      <c r="D18" s="96"/>
      <c r="E18" s="95"/>
      <c r="F18" s="95"/>
      <c r="G18" s="95"/>
      <c r="H18" s="95"/>
      <c r="I18" s="97"/>
    </row>
    <row r="19" spans="1:9" ht="20.399999999999999" x14ac:dyDescent="0.25">
      <c r="A19" s="160" t="s">
        <v>299</v>
      </c>
      <c r="B19" s="161"/>
      <c r="C19" s="161"/>
      <c r="D19" s="161"/>
      <c r="E19" s="161"/>
      <c r="F19" s="161"/>
      <c r="G19" s="161"/>
      <c r="H19" s="161"/>
      <c r="I19" s="162"/>
    </row>
    <row r="20" spans="1:9" ht="19.2" x14ac:dyDescent="0.25">
      <c r="A20" s="169" t="s">
        <v>300</v>
      </c>
      <c r="B20" s="170"/>
      <c r="C20" s="170"/>
      <c r="D20" s="170"/>
      <c r="E20" s="170"/>
      <c r="F20" s="170"/>
      <c r="G20" s="170"/>
      <c r="H20" s="170"/>
      <c r="I20" s="171"/>
    </row>
    <row r="21" spans="1:9" ht="18" x14ac:dyDescent="0.25">
      <c r="A21" s="99"/>
      <c r="B21" s="95"/>
      <c r="C21" s="95"/>
      <c r="D21" s="96"/>
      <c r="E21" s="95"/>
      <c r="F21" s="95"/>
      <c r="G21" s="95"/>
      <c r="H21" s="95"/>
      <c r="I21" s="97"/>
    </row>
    <row r="22" spans="1:9" ht="39" customHeight="1" x14ac:dyDescent="0.25">
      <c r="A22" s="172" t="e">
        <f>+#REF!</f>
        <v>#REF!</v>
      </c>
      <c r="B22" s="173"/>
      <c r="C22" s="173"/>
      <c r="D22" s="173"/>
      <c r="E22" s="173"/>
      <c r="F22" s="173"/>
      <c r="G22" s="173"/>
      <c r="H22" s="173"/>
      <c r="I22" s="174"/>
    </row>
    <row r="23" spans="1:9" ht="16.8" x14ac:dyDescent="0.25">
      <c r="A23" s="100"/>
      <c r="B23" s="101"/>
      <c r="C23" s="101"/>
      <c r="D23" s="101"/>
      <c r="E23" s="101"/>
      <c r="F23" s="101"/>
      <c r="G23" s="101"/>
      <c r="H23" s="101"/>
      <c r="I23" s="102"/>
    </row>
    <row r="24" spans="1:9" ht="17.399999999999999" x14ac:dyDescent="0.25">
      <c r="A24" s="103" t="s">
        <v>301</v>
      </c>
      <c r="B24" s="104"/>
      <c r="C24" s="104" t="s">
        <v>302</v>
      </c>
      <c r="D24" s="104" t="str">
        <f>+FS!C13</f>
        <v>Eknath pandurang tharkar</v>
      </c>
      <c r="E24" s="104"/>
      <c r="F24" s="104"/>
      <c r="G24" s="104"/>
      <c r="H24" s="104"/>
      <c r="I24" s="157"/>
    </row>
    <row r="25" spans="1:9" ht="18" x14ac:dyDescent="0.35">
      <c r="A25" s="105" t="s">
        <v>303</v>
      </c>
      <c r="B25" s="106"/>
      <c r="C25" s="104" t="s">
        <v>302</v>
      </c>
      <c r="D25" s="107">
        <f>+FS!C15</f>
        <v>193</v>
      </c>
      <c r="E25" s="108"/>
      <c r="F25" s="175" t="str">
        <f>[1]FS!G13</f>
        <v>L.A. Case No: 03/2021-22</v>
      </c>
      <c r="G25" s="175"/>
      <c r="H25" s="175"/>
      <c r="I25" s="176"/>
    </row>
    <row r="26" spans="1:9" ht="18" x14ac:dyDescent="0.35">
      <c r="A26" s="105" t="s">
        <v>304</v>
      </c>
      <c r="B26" s="106"/>
      <c r="C26" s="104" t="s">
        <v>302</v>
      </c>
      <c r="D26" s="109">
        <f>+FS!G15</f>
        <v>823876</v>
      </c>
      <c r="E26" s="110" t="s">
        <v>305</v>
      </c>
      <c r="F26" s="106"/>
      <c r="G26" s="111"/>
      <c r="H26" s="112"/>
      <c r="I26" s="113"/>
    </row>
    <row r="27" spans="1:9" ht="17.399999999999999" x14ac:dyDescent="0.25">
      <c r="A27" s="105"/>
      <c r="B27" s="114"/>
      <c r="C27" s="104"/>
      <c r="D27" s="115"/>
      <c r="E27" s="116"/>
      <c r="F27" s="114"/>
      <c r="G27" s="114"/>
      <c r="H27" s="114"/>
      <c r="I27" s="117"/>
    </row>
    <row r="28" spans="1:9" ht="52.2" customHeight="1" x14ac:dyDescent="0.25">
      <c r="A28" s="177" t="s">
        <v>306</v>
      </c>
      <c r="B28" s="164"/>
      <c r="C28" s="164"/>
      <c r="D28" s="164"/>
      <c r="E28" s="164"/>
      <c r="F28" s="164"/>
      <c r="G28" s="164"/>
      <c r="H28" s="164"/>
      <c r="I28" s="165"/>
    </row>
    <row r="29" spans="1:9" ht="52.2" customHeight="1" thickBot="1" x14ac:dyDescent="0.3">
      <c r="A29" s="166" t="s">
        <v>307</v>
      </c>
      <c r="B29" s="167"/>
      <c r="C29" s="167"/>
      <c r="D29" s="167"/>
      <c r="E29" s="167"/>
      <c r="F29" s="167"/>
      <c r="G29" s="167"/>
      <c r="H29" s="167"/>
      <c r="I29" s="168"/>
    </row>
  </sheetData>
  <mergeCells count="11">
    <mergeCell ref="A29:I29"/>
    <mergeCell ref="A20:I20"/>
    <mergeCell ref="A22:I22"/>
    <mergeCell ref="F25:I25"/>
    <mergeCell ref="A28:I28"/>
    <mergeCell ref="A19:I19"/>
    <mergeCell ref="A6:I6"/>
    <mergeCell ref="A7:I7"/>
    <mergeCell ref="A8:I8"/>
    <mergeCell ref="A9:I9"/>
    <mergeCell ref="A10:I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53E69-5DDF-4E0E-899D-A06BB0E94BF6}">
  <dimension ref="A1:J32"/>
  <sheetViews>
    <sheetView view="pageBreakPreview" zoomScaleNormal="100" workbookViewId="0">
      <selection activeCell="C16" sqref="C16"/>
    </sheetView>
  </sheetViews>
  <sheetFormatPr defaultColWidth="9.109375" defaultRowHeight="15" x14ac:dyDescent="0.25"/>
  <cols>
    <col min="1" max="1" width="9.109375" style="79"/>
    <col min="2" max="2" width="6.21875" style="79" customWidth="1"/>
    <col min="3" max="4" width="9.109375" style="79"/>
    <col min="5" max="5" width="7.33203125" style="79" customWidth="1"/>
    <col min="6" max="6" width="18.109375" style="79" customWidth="1"/>
    <col min="7" max="7" width="13.5546875" style="79" customWidth="1"/>
    <col min="8" max="8" width="9.109375" style="79"/>
    <col min="9" max="9" width="6.77734375" style="79" customWidth="1"/>
    <col min="10" max="10" width="11" style="79" bestFit="1" customWidth="1"/>
    <col min="11" max="16384" width="9.109375" style="79"/>
  </cols>
  <sheetData>
    <row r="1" spans="1:10" s="57" customFormat="1" ht="15.6" x14ac:dyDescent="0.3">
      <c r="H1" s="57" t="s">
        <v>266</v>
      </c>
    </row>
    <row r="2" spans="1:10" s="57" customFormat="1" ht="20.399999999999999" x14ac:dyDescent="0.35">
      <c r="E2" s="81" t="s">
        <v>267</v>
      </c>
    </row>
    <row r="3" spans="1:10" s="57" customFormat="1" ht="15.6" x14ac:dyDescent="0.3">
      <c r="A3" s="178" t="s">
        <v>268</v>
      </c>
      <c r="B3" s="178"/>
      <c r="C3" s="178"/>
      <c r="D3" s="178"/>
      <c r="E3" s="178"/>
      <c r="F3" s="178"/>
      <c r="G3" s="178"/>
      <c r="H3" s="178"/>
      <c r="I3" s="178"/>
    </row>
    <row r="4" spans="1:10" s="57" customFormat="1" ht="15.6" x14ac:dyDescent="0.3">
      <c r="A4" s="57" t="s">
        <v>269</v>
      </c>
    </row>
    <row r="5" spans="1:10" s="62" customFormat="1" ht="15.6" x14ac:dyDescent="0.3">
      <c r="A5" s="62" t="s">
        <v>270</v>
      </c>
      <c r="D5" s="62" t="s">
        <v>271</v>
      </c>
    </row>
    <row r="6" spans="1:10" s="62" customFormat="1" ht="15.6" x14ac:dyDescent="0.3">
      <c r="A6" s="62" t="s">
        <v>272</v>
      </c>
      <c r="D6" s="62" t="s">
        <v>273</v>
      </c>
    </row>
    <row r="7" spans="1:10" s="62" customFormat="1" ht="15.6" x14ac:dyDescent="0.3">
      <c r="A7" s="62" t="s">
        <v>274</v>
      </c>
      <c r="D7" s="62" t="s">
        <v>275</v>
      </c>
    </row>
    <row r="8" spans="1:10" s="62" customFormat="1" ht="15.6" x14ac:dyDescent="0.3">
      <c r="D8" s="62" t="s">
        <v>276</v>
      </c>
    </row>
    <row r="9" spans="1:10" s="62" customFormat="1" ht="15.6" x14ac:dyDescent="0.3">
      <c r="A9" s="62" t="s">
        <v>277</v>
      </c>
      <c r="D9" s="62" t="s">
        <v>278</v>
      </c>
    </row>
    <row r="10" spans="1:10" s="62" customFormat="1" ht="15.6" x14ac:dyDescent="0.3">
      <c r="A10" s="62" t="s">
        <v>279</v>
      </c>
      <c r="D10" s="62" t="s">
        <v>280</v>
      </c>
    </row>
    <row r="11" spans="1:10" s="62" customFormat="1" ht="15.6" x14ac:dyDescent="0.3">
      <c r="D11" s="62" t="s">
        <v>281</v>
      </c>
    </row>
    <row r="12" spans="1:10" s="57" customFormat="1" ht="93" customHeight="1" x14ac:dyDescent="0.3">
      <c r="A12" s="179" t="s">
        <v>336</v>
      </c>
      <c r="B12" s="180"/>
      <c r="C12" s="180"/>
      <c r="D12" s="180"/>
      <c r="E12" s="180"/>
      <c r="F12" s="180"/>
      <c r="G12" s="180"/>
      <c r="H12" s="180"/>
      <c r="I12" s="180"/>
    </row>
    <row r="13" spans="1:10" s="57" customFormat="1" ht="15.6" x14ac:dyDescent="0.3">
      <c r="A13" s="62" t="s">
        <v>282</v>
      </c>
      <c r="B13" s="62"/>
      <c r="C13" s="60" t="str">
        <f>+DEP!C5</f>
        <v>Eknath pandurang tharkar</v>
      </c>
      <c r="D13" s="129"/>
      <c r="E13" s="129"/>
      <c r="F13" s="129"/>
      <c r="G13" s="62" t="str">
        <f>[2]DEP!F6</f>
        <v>L.A. Case No: 03/2021-22</v>
      </c>
      <c r="H13" s="62"/>
      <c r="I13" s="62"/>
      <c r="J13" s="62"/>
    </row>
    <row r="14" spans="1:10" s="57" customFormat="1" ht="15.6" x14ac:dyDescent="0.3">
      <c r="A14" s="57" t="s">
        <v>283</v>
      </c>
      <c r="C14" s="82" t="s">
        <v>319</v>
      </c>
    </row>
    <row r="15" spans="1:10" s="57" customFormat="1" ht="18" x14ac:dyDescent="0.35">
      <c r="A15" s="57" t="s">
        <v>284</v>
      </c>
      <c r="C15" s="130">
        <f>+DEP!C6</f>
        <v>193</v>
      </c>
      <c r="F15" s="83" t="s">
        <v>285</v>
      </c>
      <c r="G15" s="84">
        <f>+DEP!D24</f>
        <v>823876</v>
      </c>
      <c r="H15" s="85" t="s">
        <v>286</v>
      </c>
    </row>
    <row r="16" spans="1:10" s="57" customFormat="1" ht="15.6" x14ac:dyDescent="0.3"/>
    <row r="17" spans="1:9" s="57" customFormat="1" ht="15.6" x14ac:dyDescent="0.3">
      <c r="A17" s="57" t="s">
        <v>287</v>
      </c>
    </row>
    <row r="18" spans="1:9" s="57" customFormat="1" ht="15.6" x14ac:dyDescent="0.3"/>
    <row r="19" spans="1:9" s="57" customFormat="1" ht="15.6" x14ac:dyDescent="0.3">
      <c r="A19" s="57" t="s">
        <v>288</v>
      </c>
    </row>
    <row r="20" spans="1:9" s="57" customFormat="1" ht="15.6" x14ac:dyDescent="0.3"/>
    <row r="21" spans="1:9" s="57" customFormat="1" ht="15.6" x14ac:dyDescent="0.3">
      <c r="A21" s="57" t="s">
        <v>318</v>
      </c>
    </row>
    <row r="22" spans="1:9" s="57" customFormat="1" ht="15.6" x14ac:dyDescent="0.3">
      <c r="H22" s="57" t="s">
        <v>289</v>
      </c>
    </row>
    <row r="23" spans="1:9" s="57" customFormat="1" ht="15.6" x14ac:dyDescent="0.3">
      <c r="A23" s="57" t="s">
        <v>290</v>
      </c>
    </row>
    <row r="24" spans="1:9" s="57" customFormat="1" ht="15.6" x14ac:dyDescent="0.3">
      <c r="A24" s="57" t="s">
        <v>291</v>
      </c>
    </row>
    <row r="25" spans="1:9" s="57" customFormat="1" ht="15.6" x14ac:dyDescent="0.3">
      <c r="A25" s="178" t="s">
        <v>292</v>
      </c>
      <c r="B25" s="178"/>
      <c r="C25" s="178"/>
      <c r="D25" s="178"/>
      <c r="E25" s="178"/>
      <c r="F25" s="178"/>
      <c r="G25" s="178"/>
      <c r="H25" s="178"/>
      <c r="I25" s="178"/>
    </row>
    <row r="26" spans="1:9" s="57" customFormat="1" ht="79.8" customHeight="1" x14ac:dyDescent="0.3">
      <c r="A26" s="179" t="s">
        <v>335</v>
      </c>
      <c r="B26" s="180"/>
      <c r="C26" s="180"/>
      <c r="D26" s="180"/>
      <c r="E26" s="180"/>
      <c r="F26" s="180"/>
      <c r="G26" s="180"/>
      <c r="H26" s="180"/>
      <c r="I26" s="180"/>
    </row>
    <row r="27" spans="1:9" s="57" customFormat="1" ht="15.6" x14ac:dyDescent="0.3"/>
    <row r="28" spans="1:9" s="57" customFormat="1" ht="15.6" x14ac:dyDescent="0.3"/>
    <row r="29" spans="1:9" s="57" customFormat="1" ht="15.6" x14ac:dyDescent="0.3">
      <c r="C29" s="86" t="s">
        <v>311</v>
      </c>
      <c r="G29" s="86" t="s">
        <v>315</v>
      </c>
    </row>
    <row r="30" spans="1:9" s="57" customFormat="1" ht="15.6" x14ac:dyDescent="0.3">
      <c r="C30" s="87" t="s">
        <v>312</v>
      </c>
      <c r="G30" s="87" t="s">
        <v>316</v>
      </c>
    </row>
    <row r="31" spans="1:9" s="57" customFormat="1" ht="15.6" x14ac:dyDescent="0.3">
      <c r="C31" s="87" t="s">
        <v>313</v>
      </c>
      <c r="G31" s="87" t="s">
        <v>317</v>
      </c>
    </row>
    <row r="32" spans="1:9" s="57" customFormat="1" ht="15.6" x14ac:dyDescent="0.3">
      <c r="C32" s="87" t="s">
        <v>314</v>
      </c>
      <c r="G32" s="87" t="s">
        <v>239</v>
      </c>
    </row>
  </sheetData>
  <mergeCells count="4">
    <mergeCell ref="A3:I3"/>
    <mergeCell ref="A12:I12"/>
    <mergeCell ref="A25:I25"/>
    <mergeCell ref="A26:I2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2128F-678D-4A19-AE93-B792C4C16EC4}">
  <dimension ref="A1:K42"/>
  <sheetViews>
    <sheetView view="pageBreakPreview" zoomScale="97" zoomScaleNormal="100" workbookViewId="0">
      <selection activeCell="C7" sqref="C7"/>
    </sheetView>
  </sheetViews>
  <sheetFormatPr defaultRowHeight="15.6" x14ac:dyDescent="0.3"/>
  <cols>
    <col min="1" max="1" width="8.88671875" style="80"/>
    <col min="2" max="2" width="14.5546875" style="80" customWidth="1"/>
    <col min="3" max="3" width="9.44140625" style="80" bestFit="1" customWidth="1"/>
    <col min="4" max="4" width="13.44140625" style="80" customWidth="1"/>
    <col min="5" max="5" width="8.88671875" style="80"/>
    <col min="6" max="6" width="12" style="80" customWidth="1"/>
    <col min="7" max="7" width="9" style="80" customWidth="1"/>
    <col min="8" max="8" width="8.77734375" style="80" customWidth="1"/>
    <col min="9" max="9" width="9.88671875" style="80" customWidth="1"/>
    <col min="10" max="16384" width="8.88671875" style="80"/>
  </cols>
  <sheetData>
    <row r="1" spans="1:9" s="57" customFormat="1" ht="26.4" customHeight="1" x14ac:dyDescent="0.3">
      <c r="A1" s="181" t="s">
        <v>240</v>
      </c>
      <c r="B1" s="181"/>
      <c r="C1" s="181"/>
      <c r="D1" s="181"/>
      <c r="E1" s="181"/>
      <c r="F1" s="181"/>
      <c r="G1" s="181"/>
      <c r="H1" s="181"/>
      <c r="I1" s="56"/>
    </row>
    <row r="2" spans="1:9" s="57" customFormat="1" ht="19.2" customHeight="1" x14ac:dyDescent="0.3">
      <c r="A2" s="182" t="s">
        <v>241</v>
      </c>
      <c r="B2" s="183"/>
      <c r="C2" s="183"/>
      <c r="D2" s="183"/>
      <c r="E2" s="183"/>
      <c r="F2" s="183"/>
      <c r="G2" s="183"/>
      <c r="H2" s="183"/>
    </row>
    <row r="3" spans="1:9" s="57" customFormat="1" ht="40.200000000000003" customHeight="1" x14ac:dyDescent="0.3">
      <c r="A3" s="184" t="str">
        <f>[2]ABSTRACT!A3</f>
        <v xml:space="preserve">Name of Work:- Valuation of Properties on the Land of Village:Bhon (Tal: Sangrampur, Dist: Buldana)  </v>
      </c>
      <c r="B3" s="183"/>
      <c r="C3" s="183"/>
      <c r="D3" s="183"/>
      <c r="E3" s="183"/>
      <c r="F3" s="183"/>
      <c r="G3" s="183"/>
      <c r="H3" s="183"/>
      <c r="I3" s="59"/>
    </row>
    <row r="4" spans="1:9" s="57" customFormat="1" x14ac:dyDescent="0.3">
      <c r="A4" s="185" t="s">
        <v>242</v>
      </c>
      <c r="B4" s="186"/>
      <c r="C4" s="186"/>
      <c r="D4" s="186"/>
      <c r="E4" s="186"/>
      <c r="F4" s="186"/>
      <c r="G4" s="186"/>
      <c r="H4" s="186"/>
      <c r="I4" s="60"/>
    </row>
    <row r="5" spans="1:9" s="62" customFormat="1" x14ac:dyDescent="0.3">
      <c r="A5" s="187" t="s">
        <v>243</v>
      </c>
      <c r="B5" s="187"/>
      <c r="C5" s="188" t="str">
        <f>+ABSTRACT!C4</f>
        <v>Eknath pandurang tharkar</v>
      </c>
      <c r="D5" s="188"/>
      <c r="E5" s="188"/>
      <c r="F5" s="188"/>
      <c r="G5" s="188"/>
      <c r="H5" s="188"/>
    </row>
    <row r="6" spans="1:9" s="62" customFormat="1" x14ac:dyDescent="0.3">
      <c r="A6" s="187" t="s">
        <v>244</v>
      </c>
      <c r="B6" s="187"/>
      <c r="C6" s="189">
        <f>+ABSTRACT!C5</f>
        <v>193</v>
      </c>
      <c r="D6" s="189"/>
      <c r="E6" s="189"/>
      <c r="F6" s="62" t="str">
        <f>+MS!J6</f>
        <v>LA No.</v>
      </c>
      <c r="G6" s="62" t="str">
        <f>+MS!L6</f>
        <v>01/2022-23</v>
      </c>
    </row>
    <row r="7" spans="1:9" s="62" customFormat="1" x14ac:dyDescent="0.3">
      <c r="A7" s="187" t="s">
        <v>0</v>
      </c>
      <c r="B7" s="187"/>
      <c r="C7" s="63" t="str">
        <f>+FS!C14</f>
        <v>Bondgaon</v>
      </c>
      <c r="F7" s="64"/>
    </row>
    <row r="8" spans="1:9" s="62" customFormat="1" x14ac:dyDescent="0.3">
      <c r="A8" s="184" t="s">
        <v>245</v>
      </c>
      <c r="B8" s="183"/>
      <c r="C8" s="183"/>
      <c r="D8" s="183"/>
      <c r="E8" s="183"/>
      <c r="F8" s="183"/>
      <c r="G8" s="183"/>
      <c r="H8" s="183"/>
      <c r="I8" s="60"/>
    </row>
    <row r="9" spans="1:9" s="62" customFormat="1" x14ac:dyDescent="0.3">
      <c r="A9" s="62" t="s">
        <v>246</v>
      </c>
      <c r="C9" s="62" t="s">
        <v>334</v>
      </c>
      <c r="E9" s="61"/>
    </row>
    <row r="10" spans="1:9" s="62" customFormat="1" x14ac:dyDescent="0.3">
      <c r="A10" s="62" t="s">
        <v>247</v>
      </c>
      <c r="C10" s="65">
        <v>10</v>
      </c>
      <c r="E10" s="66"/>
    </row>
    <row r="11" spans="1:9" s="62" customFormat="1" x14ac:dyDescent="0.3">
      <c r="A11" s="62" t="s">
        <v>248</v>
      </c>
      <c r="C11" s="66"/>
      <c r="D11" s="190">
        <f>+ABSTRACT!G25</f>
        <v>1073836</v>
      </c>
      <c r="E11" s="190"/>
    </row>
    <row r="12" spans="1:9" s="62" customFormat="1" x14ac:dyDescent="0.3">
      <c r="A12" s="184" t="s">
        <v>249</v>
      </c>
      <c r="B12" s="183"/>
      <c r="C12" s="183"/>
      <c r="D12" s="183"/>
      <c r="E12" s="183"/>
      <c r="F12" s="183"/>
      <c r="G12" s="183"/>
      <c r="H12" s="183"/>
      <c r="I12" s="60"/>
    </row>
    <row r="13" spans="1:9" s="62" customFormat="1" x14ac:dyDescent="0.3">
      <c r="A13" s="62" t="s">
        <v>250</v>
      </c>
      <c r="D13" s="66">
        <v>2023</v>
      </c>
      <c r="E13" s="59"/>
    </row>
    <row r="14" spans="1:9" s="62" customFormat="1" x14ac:dyDescent="0.3">
      <c r="A14" s="62" t="s">
        <v>251</v>
      </c>
      <c r="D14" s="6">
        <f>2026-D13</f>
        <v>3</v>
      </c>
      <c r="E14" s="66"/>
    </row>
    <row r="15" spans="1:9" s="62" customFormat="1" x14ac:dyDescent="0.3">
      <c r="A15" s="62" t="s">
        <v>252</v>
      </c>
      <c r="D15" s="67">
        <f>C10-D14</f>
        <v>7</v>
      </c>
      <c r="E15" s="66"/>
    </row>
    <row r="16" spans="1:9" s="62" customFormat="1" x14ac:dyDescent="0.3">
      <c r="A16" s="62" t="s">
        <v>253</v>
      </c>
      <c r="D16" s="67">
        <f>VLOOKUP(D15,YP!$A$2:B101,2,0)</f>
        <v>5.3890000000000002</v>
      </c>
      <c r="F16" s="62" t="s">
        <v>254</v>
      </c>
    </row>
    <row r="17" spans="1:11" s="62" customFormat="1" x14ac:dyDescent="0.3">
      <c r="A17" s="62" t="s">
        <v>255</v>
      </c>
      <c r="D17" s="67">
        <f>VLOOKUP(C10,YP!$A$2:B101,2,0)</f>
        <v>7.024</v>
      </c>
      <c r="F17" s="62" t="s">
        <v>256</v>
      </c>
    </row>
    <row r="18" spans="1:11" s="62" customFormat="1" x14ac:dyDescent="0.3">
      <c r="A18" s="184" t="s">
        <v>257</v>
      </c>
      <c r="B18" s="183"/>
      <c r="C18" s="183"/>
      <c r="D18" s="183"/>
      <c r="E18" s="183"/>
      <c r="F18" s="183"/>
      <c r="G18" s="183"/>
      <c r="H18" s="183"/>
      <c r="I18" s="60"/>
    </row>
    <row r="19" spans="1:11" s="62" customFormat="1" x14ac:dyDescent="0.3">
      <c r="A19" s="62" t="s">
        <v>258</v>
      </c>
      <c r="E19" s="68" t="s">
        <v>259</v>
      </c>
      <c r="F19" s="68"/>
      <c r="I19" s="69"/>
    </row>
    <row r="20" spans="1:11" s="62" customFormat="1" x14ac:dyDescent="0.3">
      <c r="E20" s="62" t="s">
        <v>260</v>
      </c>
    </row>
    <row r="21" spans="1:11" s="62" customFormat="1" x14ac:dyDescent="0.3"/>
    <row r="22" spans="1:11" s="62" customFormat="1" x14ac:dyDescent="0.3">
      <c r="C22" s="64" t="s">
        <v>261</v>
      </c>
      <c r="D22" s="70">
        <f>+D11</f>
        <v>1073836</v>
      </c>
      <c r="E22" s="66" t="s">
        <v>262</v>
      </c>
      <c r="F22" s="71">
        <f>D16</f>
        <v>5.3890000000000002</v>
      </c>
      <c r="G22" s="69"/>
    </row>
    <row r="23" spans="1:11" s="62" customFormat="1" x14ac:dyDescent="0.3">
      <c r="D23" s="66"/>
      <c r="E23" s="66"/>
      <c r="F23" s="66">
        <f>D17</f>
        <v>7.024</v>
      </c>
    </row>
    <row r="24" spans="1:11" s="62" customFormat="1" x14ac:dyDescent="0.3">
      <c r="C24" s="72" t="s">
        <v>263</v>
      </c>
      <c r="D24" s="59">
        <f>ROUND(D22*F22/F23,0)</f>
        <v>823876</v>
      </c>
    </row>
    <row r="25" spans="1:11" s="62" customFormat="1" x14ac:dyDescent="0.3">
      <c r="C25" s="72"/>
      <c r="D25" s="73"/>
    </row>
    <row r="26" spans="1:11" s="62" customFormat="1" ht="16.2" x14ac:dyDescent="0.3">
      <c r="B26" s="74" t="s">
        <v>264</v>
      </c>
      <c r="J26" s="75"/>
      <c r="K26" s="66"/>
    </row>
    <row r="27" spans="1:11" s="62" customFormat="1" ht="16.2" x14ac:dyDescent="0.3">
      <c r="B27" s="74"/>
      <c r="J27" s="75"/>
      <c r="K27" s="66"/>
    </row>
    <row r="28" spans="1:11" s="62" customFormat="1" x14ac:dyDescent="0.3">
      <c r="B28" s="66"/>
      <c r="C28" s="66"/>
      <c r="F28" s="86" t="s">
        <v>311</v>
      </c>
      <c r="H28" s="66"/>
      <c r="I28" s="66"/>
      <c r="K28" s="66"/>
    </row>
    <row r="29" spans="1:11" s="62" customFormat="1" x14ac:dyDescent="0.3">
      <c r="B29" s="59" t="str">
        <f>[2]ABSTRACT!B36</f>
        <v>(V.B.Nagose )</v>
      </c>
      <c r="C29" s="66"/>
      <c r="F29" s="87" t="s">
        <v>312</v>
      </c>
      <c r="K29" s="66"/>
    </row>
    <row r="30" spans="1:11" s="62" customFormat="1" x14ac:dyDescent="0.3">
      <c r="B30" s="66" t="str">
        <f>[2]ABSTRACT!B37</f>
        <v>JE</v>
      </c>
      <c r="E30" s="66"/>
      <c r="F30" s="87" t="s">
        <v>313</v>
      </c>
      <c r="K30" s="66"/>
    </row>
    <row r="31" spans="1:11" s="62" customFormat="1" x14ac:dyDescent="0.3">
      <c r="B31" s="66"/>
      <c r="E31" s="66"/>
      <c r="F31" s="87" t="s">
        <v>314</v>
      </c>
      <c r="K31" s="66"/>
    </row>
    <row r="32" spans="1:11" s="62" customFormat="1" x14ac:dyDescent="0.3">
      <c r="E32" s="66"/>
      <c r="F32" s="66"/>
      <c r="I32" s="66"/>
      <c r="K32" s="66"/>
    </row>
    <row r="33" spans="1:11" s="62" customFormat="1" x14ac:dyDescent="0.3">
      <c r="E33" s="66"/>
      <c r="F33" s="66"/>
      <c r="I33" s="66"/>
      <c r="K33" s="66"/>
    </row>
    <row r="34" spans="1:11" s="62" customFormat="1" ht="16.2" x14ac:dyDescent="0.3">
      <c r="B34" s="74" t="s">
        <v>265</v>
      </c>
    </row>
    <row r="35" spans="1:11" s="62" customFormat="1" x14ac:dyDescent="0.3">
      <c r="F35" s="86" t="s">
        <v>315</v>
      </c>
      <c r="G35" s="59"/>
      <c r="I35" s="59"/>
    </row>
    <row r="36" spans="1:11" s="62" customFormat="1" x14ac:dyDescent="0.3">
      <c r="B36" s="66"/>
      <c r="F36" s="87" t="s">
        <v>316</v>
      </c>
    </row>
    <row r="37" spans="1:11" s="62" customFormat="1" x14ac:dyDescent="0.3">
      <c r="B37" s="66" t="str">
        <f>[2]ABSTRACT!B42</f>
        <v>JE/AE-2</v>
      </c>
      <c r="F37" s="87" t="s">
        <v>317</v>
      </c>
    </row>
    <row r="38" spans="1:11" s="62" customFormat="1" x14ac:dyDescent="0.3">
      <c r="B38" s="76"/>
      <c r="F38" s="87" t="s">
        <v>239</v>
      </c>
    </row>
    <row r="39" spans="1:11" s="57" customFormat="1" x14ac:dyDescent="0.3">
      <c r="B39" s="77"/>
    </row>
    <row r="40" spans="1:11" x14ac:dyDescent="0.3">
      <c r="A40" s="78"/>
      <c r="B40" s="78"/>
      <c r="C40" s="78"/>
      <c r="D40" s="78"/>
      <c r="E40" s="78"/>
      <c r="F40" s="78"/>
      <c r="G40" s="78"/>
      <c r="H40" s="78"/>
      <c r="I40" s="78"/>
      <c r="J40" s="79"/>
    </row>
    <row r="41" spans="1:11" x14ac:dyDescent="0.3">
      <c r="A41" s="78"/>
      <c r="B41" s="78"/>
      <c r="C41" s="78"/>
      <c r="D41" s="78"/>
      <c r="E41" s="78"/>
      <c r="F41" s="78"/>
      <c r="G41" s="78"/>
      <c r="H41" s="78"/>
      <c r="I41" s="78"/>
      <c r="J41" s="79"/>
    </row>
    <row r="42" spans="1:11" x14ac:dyDescent="0.3">
      <c r="A42" s="78"/>
      <c r="B42" s="78"/>
      <c r="C42" s="78"/>
      <c r="D42" s="78"/>
      <c r="E42" s="78"/>
      <c r="F42" s="78"/>
      <c r="G42" s="78"/>
      <c r="H42" s="78"/>
      <c r="I42" s="78"/>
      <c r="J42" s="79"/>
    </row>
  </sheetData>
  <mergeCells count="13">
    <mergeCell ref="A12:H12"/>
    <mergeCell ref="A18:H18"/>
    <mergeCell ref="A6:B6"/>
    <mergeCell ref="C6:E6"/>
    <mergeCell ref="A7:B7"/>
    <mergeCell ref="A8:H8"/>
    <mergeCell ref="D11:E11"/>
    <mergeCell ref="A1:H1"/>
    <mergeCell ref="A2:H2"/>
    <mergeCell ref="A3:H3"/>
    <mergeCell ref="A4:H4"/>
    <mergeCell ref="A5:B5"/>
    <mergeCell ref="C5:H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D92A8-345C-4FE9-8885-2F29D7F7E640}">
  <dimension ref="A1:I41"/>
  <sheetViews>
    <sheetView view="pageBreakPreview" zoomScale="111" zoomScaleNormal="100" workbookViewId="0">
      <selection activeCell="C6" sqref="C6"/>
    </sheetView>
  </sheetViews>
  <sheetFormatPr defaultRowHeight="15.6" x14ac:dyDescent="0.3"/>
  <cols>
    <col min="1" max="1" width="4.5546875" style="16" customWidth="1"/>
    <col min="2" max="2" width="9.5546875" style="3" customWidth="1"/>
    <col min="3" max="3" width="40.6640625" style="55" customWidth="1"/>
    <col min="4" max="4" width="11.6640625" style="3" customWidth="1"/>
    <col min="5" max="5" width="8.77734375" style="3" customWidth="1"/>
    <col min="6" max="6" width="6.44140625" style="3" customWidth="1"/>
    <col min="7" max="7" width="11.21875" style="3" customWidth="1"/>
    <col min="8" max="16384" width="8.88671875" style="3"/>
  </cols>
  <sheetData>
    <row r="1" spans="1:9" ht="17.399999999999999" x14ac:dyDescent="0.3">
      <c r="A1" s="195" t="s">
        <v>56</v>
      </c>
      <c r="B1" s="195"/>
      <c r="C1" s="195"/>
      <c r="D1" s="195"/>
      <c r="E1" s="195"/>
      <c r="F1" s="195"/>
      <c r="G1" s="195"/>
    </row>
    <row r="2" spans="1:9" x14ac:dyDescent="0.3">
      <c r="A2" s="196" t="s">
        <v>224</v>
      </c>
      <c r="B2" s="196"/>
      <c r="C2" s="196"/>
      <c r="D2" s="196"/>
      <c r="E2" s="196"/>
      <c r="F2" s="196"/>
      <c r="G2" s="196"/>
      <c r="H2" s="6"/>
      <c r="I2" s="6"/>
    </row>
    <row r="3" spans="1:9" ht="51" customHeight="1" x14ac:dyDescent="0.3">
      <c r="A3" s="197" t="str">
        <f>+MS!A3</f>
        <v xml:space="preserve">Name of Work:- Valuation of Properties on the Land of Village:Bondgaon (Tal: Shegaon, Dist: Buldana)  </v>
      </c>
      <c r="B3" s="197"/>
      <c r="C3" s="197"/>
      <c r="D3" s="197"/>
      <c r="E3" s="197"/>
      <c r="F3" s="197"/>
      <c r="G3" s="197"/>
    </row>
    <row r="4" spans="1:9" s="31" customFormat="1" x14ac:dyDescent="0.3">
      <c r="A4" s="198" t="s">
        <v>225</v>
      </c>
      <c r="B4" s="198"/>
      <c r="C4" s="199" t="str">
        <f>+MS!D4</f>
        <v>Eknath pandurang tharkar</v>
      </c>
      <c r="D4" s="199"/>
      <c r="E4" s="199"/>
      <c r="F4" s="199"/>
      <c r="G4" s="199"/>
    </row>
    <row r="5" spans="1:9" s="31" customFormat="1" ht="19.2" customHeight="1" x14ac:dyDescent="0.3">
      <c r="A5" s="29" t="s">
        <v>226</v>
      </c>
      <c r="B5" s="29"/>
      <c r="C5" s="32">
        <f>+MS!D5</f>
        <v>193</v>
      </c>
      <c r="D5" s="200" t="str">
        <f>[2]RA!A6</f>
        <v>L.A. Case No: 03/2021-22</v>
      </c>
      <c r="E5" s="200"/>
      <c r="F5" s="200"/>
      <c r="G5" s="200"/>
    </row>
    <row r="6" spans="1:9" s="31" customFormat="1" x14ac:dyDescent="0.3">
      <c r="A6" s="29" t="s">
        <v>227</v>
      </c>
      <c r="B6" s="29"/>
      <c r="C6" s="32" t="str">
        <f>+DEP!C7</f>
        <v>Bondgaon</v>
      </c>
      <c r="D6" s="30"/>
      <c r="E6" s="30"/>
      <c r="F6" s="33"/>
      <c r="G6" s="33"/>
    </row>
    <row r="7" spans="1:9" s="31" customFormat="1" x14ac:dyDescent="0.3">
      <c r="A7" s="29"/>
      <c r="B7" s="29"/>
      <c r="C7" s="32"/>
      <c r="D7" s="30"/>
      <c r="E7" s="30"/>
      <c r="F7" s="33"/>
      <c r="G7" s="33"/>
    </row>
    <row r="8" spans="1:9" x14ac:dyDescent="0.3">
      <c r="A8" s="191" t="s">
        <v>228</v>
      </c>
      <c r="B8" s="191"/>
      <c r="C8" s="191"/>
      <c r="D8" s="191"/>
      <c r="E8" s="191"/>
      <c r="F8" s="191"/>
      <c r="G8" s="191"/>
    </row>
    <row r="9" spans="1:9" x14ac:dyDescent="0.3">
      <c r="A9" s="13"/>
      <c r="B9" s="13"/>
      <c r="C9" s="13"/>
      <c r="D9" s="13"/>
      <c r="E9" s="13"/>
      <c r="F9" s="13"/>
      <c r="G9" s="13"/>
    </row>
    <row r="10" spans="1:9" ht="78" x14ac:dyDescent="0.3">
      <c r="A10" s="34" t="s">
        <v>2</v>
      </c>
      <c r="B10" s="34" t="s">
        <v>229</v>
      </c>
      <c r="C10" s="34" t="s">
        <v>230</v>
      </c>
      <c r="D10" s="34" t="s">
        <v>231</v>
      </c>
      <c r="E10" s="35" t="s">
        <v>232</v>
      </c>
      <c r="F10" s="34" t="s">
        <v>233</v>
      </c>
      <c r="G10" s="34" t="s">
        <v>234</v>
      </c>
      <c r="H10" s="16"/>
    </row>
    <row r="11" spans="1:9" s="16" customFormat="1" ht="156" x14ac:dyDescent="0.3">
      <c r="A11" s="36">
        <v>1</v>
      </c>
      <c r="B11" s="37">
        <f>ROUND(VLOOKUP(A11,MS!$B$9:O153,13,0),2)</f>
        <v>10.33</v>
      </c>
      <c r="C11" s="38" t="str">
        <f>VLOOKUP(F11,RA!$A$2:D141,2,0)</f>
        <v>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v>
      </c>
      <c r="D11" s="37">
        <f>VLOOKUP(F11,RA!$A$2:D141,3,0)</f>
        <v>202.85</v>
      </c>
      <c r="E11" s="37" t="str">
        <f>VLOOKUP(F11,RA!$A$2:D141,4,0)</f>
        <v>Cum</v>
      </c>
      <c r="F11" s="39">
        <f>VLOOKUP(A11,MS!$B$9:O153,2,0)</f>
        <v>1</v>
      </c>
      <c r="G11" s="40">
        <f>ROUND(D11*B11,0)</f>
        <v>2095</v>
      </c>
    </row>
    <row r="12" spans="1:9" s="16" customFormat="1" ht="62.4" x14ac:dyDescent="0.3">
      <c r="A12" s="36">
        <v>2</v>
      </c>
      <c r="B12" s="37">
        <f>ROUND(VLOOKUP(A12,MS!$B$9:O154,13,0),2)</f>
        <v>2.58</v>
      </c>
      <c r="C12" s="38" t="str">
        <f>VLOOKUP(F12,RA!$A$2:D142,2,0)</f>
        <v>Providing dry/ trap/ granite/ quartzite/ gneiss rubble stone soling 15 cm to 20 cm thick including hand packing and compacting etc. complete.</v>
      </c>
      <c r="D12" s="37">
        <f>VLOOKUP(F12,RA!$A$2:D142,3,0)</f>
        <v>2130.4</v>
      </c>
      <c r="E12" s="37" t="str">
        <f>VLOOKUP(F12,RA!$A$2:D142,4,0)</f>
        <v>Cum</v>
      </c>
      <c r="F12" s="39">
        <f>VLOOKUP(A12,MS!$B$9:O154,2,0)</f>
        <v>4</v>
      </c>
      <c r="G12" s="40">
        <f t="shared" ref="G12:G21" si="0">ROUND(D12*B12,0)</f>
        <v>5496</v>
      </c>
    </row>
    <row r="13" spans="1:9" s="16" customFormat="1" ht="234" x14ac:dyDescent="0.3">
      <c r="A13" s="36">
        <v>3</v>
      </c>
      <c r="B13" s="37">
        <f>ROUND(VLOOKUP(A13,MS!$B$9:O160,13,0),2)</f>
        <v>7.75</v>
      </c>
      <c r="C13" s="38" t="str">
        <f>VLOOKUP(F13,RA!$A$2:D143,2,0)</f>
        <v>Providing and laying Cast in situ/Ready Mix cement concrete M-20 of trap / granite /quartzite/ gneiss metal for R.C.C. beams and lintels as per detailed designs and drawings or as directed including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v>
      </c>
      <c r="D13" s="37">
        <f>VLOOKUP(F13,RA!$A$2:D143,3,0)</f>
        <v>12639.7</v>
      </c>
      <c r="E13" s="37" t="str">
        <f>VLOOKUP(F13,RA!$A$2:D143,4,0)</f>
        <v>Cum</v>
      </c>
      <c r="F13" s="39">
        <f>VLOOKUP(A13,MS!$B$9:O160,2,0)</f>
        <v>21</v>
      </c>
      <c r="G13" s="40">
        <f t="shared" si="0"/>
        <v>97958</v>
      </c>
    </row>
    <row r="14" spans="1:9" s="16" customFormat="1" ht="156" x14ac:dyDescent="0.3">
      <c r="A14" s="36">
        <v>4</v>
      </c>
      <c r="B14" s="37">
        <f>ROUND(VLOOKUP(A14,MS!$B$9:O161,13,0),2)</f>
        <v>4.29</v>
      </c>
      <c r="C14" s="38" t="str">
        <f>VLOOKUP(F14,RA!$A$2:D144,2,0)</f>
        <v>Providing and fixing in position TMT - FE - 500 bar reinforcement of various diameters for R.C.C. pile caps,footings, foundations, slabs, beams columns, canopies,staircase, newels, chajjas, lintels pardis, copings, fins,arches etc. as per detailed designs, drawings and schedules. including cutting, bending, hooking the bars,binding with wires or tack welding and supporting as required complete as directed.</v>
      </c>
      <c r="D14" s="37">
        <f>VLOOKUP(F14,RA!$A$2:D144,3,0)</f>
        <v>7514.2</v>
      </c>
      <c r="E14" s="37" t="str">
        <f>VLOOKUP(F14,RA!$A$2:D144,4,0)</f>
        <v>Qtl</v>
      </c>
      <c r="F14" s="39">
        <f>VLOOKUP(A14,MS!$B$9:O161,2,0)</f>
        <v>121</v>
      </c>
      <c r="G14" s="40">
        <f t="shared" si="0"/>
        <v>32236</v>
      </c>
    </row>
    <row r="15" spans="1:9" s="16" customFormat="1" ht="124.8" x14ac:dyDescent="0.3">
      <c r="A15" s="36">
        <v>5</v>
      </c>
      <c r="B15" s="37">
        <f>ROUND(VLOOKUP(A15,MS!$B$9:O169,13,0),2)</f>
        <v>28.37</v>
      </c>
      <c r="C15" s="38" t="str">
        <f>VLOOKUP(F15,RA!$A$2:D145,2,0)</f>
        <v>Providing Autoclaved Aerated Concrete Block masonary of conforming to IS:2185 (Part3) -1984 in extra fine jointing mortar of fix o block of UltraTechor equivalent in superstructure including striking joints ,raking out joints and scaffolding etc. Complete. (The test shall be carried out conforming to IS:6441 (Part I) - 1972)</v>
      </c>
      <c r="D15" s="37">
        <f>VLOOKUP(F15,RA!$A$2:D145,3,0)</f>
        <v>7152.1</v>
      </c>
      <c r="E15" s="37" t="str">
        <f>VLOOKUP(F15,RA!$A$2:D145,4,0)</f>
        <v>Cum</v>
      </c>
      <c r="F15" s="158">
        <f>VLOOKUP(A15,MS!$B$9:O169,2,0)</f>
        <v>19.100000000000001</v>
      </c>
      <c r="G15" s="40">
        <f t="shared" si="0"/>
        <v>202905</v>
      </c>
    </row>
    <row r="16" spans="1:9" s="16" customFormat="1" ht="249.6" x14ac:dyDescent="0.3">
      <c r="A16" s="36">
        <v>6</v>
      </c>
      <c r="B16" s="37">
        <f>ROUND(VLOOKUP(A16,MS!$B$9:O170,13,0),2)</f>
        <v>0.84</v>
      </c>
      <c r="C16" s="38" t="str">
        <f>VLOOKUP(F16,RA!$A$2:D146,2,0)</f>
        <v>Providing and laying in situ/Ready Mix cement concrete M-20 of trap / granite /quartzite/ gneiss metal for R.C.C. work in foundations like raft, strip foundations, grillage and footings of R.C.C. columns and steel stanchions etc. including bailing out water, formwork, laying/pumping cover blocks, compaction and curing roughening the surface if special finish is to be provided (Excluding reinforcement and structural steel) etc.complete, with fully automatic micro processor based PLC with SCADA enabled reversible Drum Type mixer/ concrete Batch mix plant (Pan mixer) etc. complete. fine aggregate (crushed sand VSI grade)</v>
      </c>
      <c r="D16" s="37">
        <f>VLOOKUP(F16,RA!$A$2:D146,3,0)</f>
        <v>7578</v>
      </c>
      <c r="E16" s="37" t="str">
        <f>VLOOKUP(F16,RA!$A$2:D146,4,0)</f>
        <v>Cum</v>
      </c>
      <c r="F16" s="39">
        <f>VLOOKUP(A16,MS!$B$9:O170,2,0)</f>
        <v>6</v>
      </c>
      <c r="G16" s="40">
        <f t="shared" si="0"/>
        <v>6366</v>
      </c>
    </row>
    <row r="17" spans="1:7" s="16" customFormat="1" ht="78" x14ac:dyDescent="0.3">
      <c r="A17" s="36">
        <v>7</v>
      </c>
      <c r="B17" s="37">
        <f>ROUND(VLOOKUP(A17,MS!$B$9:O171,13,0),2)</f>
        <v>5.14</v>
      </c>
      <c r="C17" s="38" t="str">
        <f>VLOOKUP(F17,RA!$A$2:D147,2,0)</f>
        <v>Providing and fixing Jungle (hard) wood of approved species joist and girder in timber floor of single, double or frame type including scafolding if necessary and one primer coat etc. complete</v>
      </c>
      <c r="D17" s="37">
        <f>VLOOKUP(F17,RA!$A$2:D147,3,0)</f>
        <v>56662.35</v>
      </c>
      <c r="E17" s="37" t="str">
        <f>VLOOKUP(F17,RA!$A$2:D147,4,0)</f>
        <v>Cum.</v>
      </c>
      <c r="F17" s="39">
        <f>VLOOKUP(A17,MS!$B$9:O171,2,0)</f>
        <v>68</v>
      </c>
      <c r="G17" s="40">
        <f>ROUND(D17*B17,0)</f>
        <v>291244</v>
      </c>
    </row>
    <row r="18" spans="1:7" s="16" customFormat="1" ht="31.2" x14ac:dyDescent="0.3">
      <c r="A18" s="36">
        <v>8</v>
      </c>
      <c r="B18" s="37">
        <f>ROUND(VLOOKUP(A18,MS!$B$9:O172,13,0),2)</f>
        <v>168.93</v>
      </c>
      <c r="C18" s="38" t="str">
        <f>VLOOKUP(F18,RA!$A$2:D148,2,0)</f>
        <v>Providing and laying of Ceramic tiles 30x30cm  etc complete as Directed</v>
      </c>
      <c r="D18" s="37">
        <f>VLOOKUP(F18,RA!$A$2:D148,3,0)</f>
        <v>507.1</v>
      </c>
      <c r="E18" s="37" t="str">
        <f>VLOOKUP(F18,RA!$A$2:D148,4,0)</f>
        <v>Sqm.</v>
      </c>
      <c r="F18" s="39">
        <f>VLOOKUP(A18,MS!$B$9:O172,2,0)</f>
        <v>112</v>
      </c>
      <c r="G18" s="40">
        <f t="shared" si="0"/>
        <v>85664</v>
      </c>
    </row>
    <row r="19" spans="1:7" s="16" customFormat="1" ht="93.6" x14ac:dyDescent="0.3">
      <c r="A19" s="36">
        <v>9</v>
      </c>
      <c r="B19" s="37">
        <f>ROUND(VLOOKUP(A19,MS!$B$9:O173,13,0),2)</f>
        <v>184.53</v>
      </c>
      <c r="C19" s="38" t="str">
        <f>VLOOKUP(F19,RA!$A$2:D149,2,0)</f>
        <v>Providing and fixing non teak wood plank ceiling 12 mm. Thick with planked on underside longuled and grooved including scaffolding, fixtures with oiling and two coats of varnishing etc. conplete. (Excluding battens and joists) as directed.</v>
      </c>
      <c r="D19" s="37">
        <f>VLOOKUP(F19,RA!$A$2:D149,3,0)</f>
        <v>1166</v>
      </c>
      <c r="E19" s="37" t="str">
        <f>VLOOKUP(F19,RA!$A$2:D149,4,0)</f>
        <v>Sqm</v>
      </c>
      <c r="F19" s="39">
        <f>VLOOKUP(A19,MS!$B$9:O173,2,0)</f>
        <v>98</v>
      </c>
      <c r="G19" s="40">
        <f t="shared" si="0"/>
        <v>215162</v>
      </c>
    </row>
    <row r="20" spans="1:7" s="16" customFormat="1" ht="171.6" x14ac:dyDescent="0.3">
      <c r="A20" s="36">
        <v>10</v>
      </c>
      <c r="B20" s="37">
        <f>ROUND(VLOOKUP(A20,MS!$B$9:O174,13,0),2)</f>
        <v>107.76</v>
      </c>
      <c r="C20" s="38" t="str">
        <f>VLOOKUP(F20,RA!$A$2:D150,2,0)</f>
        <v>Providing sand faced plaster externally in cement mortar using approved screened sand, in all positions including base coat of 15 mm thick in cement mortar 1:4 using waterproofing compound at 1 kg per cement bag curing the same for not less than 2 days and keeping the surface of the base coat rough to receive the sand faced treatment 6 to 8 mm thick in cement mortar 1:4 finishing the surface by taking out grains and curing for fourteen days scaffolding etc.complete</v>
      </c>
      <c r="D20" s="37">
        <f>VLOOKUP(F20,RA!$A$2:D150,3,0)</f>
        <v>637.25</v>
      </c>
      <c r="E20" s="37" t="str">
        <f>VLOOKUP(F20,RA!$A$2:D150,4,0)</f>
        <v>Sqm.</v>
      </c>
      <c r="F20" s="39">
        <f>VLOOKUP(A20,MS!$B$9:O174,2,0)</f>
        <v>30</v>
      </c>
      <c r="G20" s="40">
        <f>ROUND(D20*B20,0)</f>
        <v>68670</v>
      </c>
    </row>
    <row r="21" spans="1:7" s="16" customFormat="1" ht="78" x14ac:dyDescent="0.3">
      <c r="A21" s="36">
        <v>11</v>
      </c>
      <c r="B21" s="37">
        <f>ROUND(VLOOKUP(A21,MS!$B$9:O175,13,0),2)</f>
        <v>95.27</v>
      </c>
      <c r="C21" s="38" t="str">
        <f>VLOOKUP(F21,RA!$A$2:D151,2,0)</f>
        <v>Providing internal cement plaster 6 mm thick in single coat in cement mortar 1:4 without neeru finish to concrete or brick surfaces, in all positions including scaffolding and curing etc. complete.</v>
      </c>
      <c r="D21" s="37">
        <f>VLOOKUP(F21,RA!$A$2:D151,3,0)</f>
        <v>201.4</v>
      </c>
      <c r="E21" s="37" t="str">
        <f>VLOOKUP(F21,RA!$A$2:D151,4,0)</f>
        <v>Sqm.</v>
      </c>
      <c r="F21" s="39">
        <f>VLOOKUP(A21,MS!$B$9:O175,2,0)</f>
        <v>29</v>
      </c>
      <c r="G21" s="40">
        <f t="shared" si="0"/>
        <v>19187</v>
      </c>
    </row>
    <row r="22" spans="1:7" s="16" customFormat="1" ht="109.2" x14ac:dyDescent="0.3">
      <c r="A22" s="36">
        <v>12</v>
      </c>
      <c r="B22" s="37">
        <f>ROUND(VLOOKUP(A22,MS!$B$9:O176,13,0),2)</f>
        <v>15.74</v>
      </c>
      <c r="C22" s="38" t="str">
        <f>VLOOKUP(F22,RA!$A$2:D152,2,0)</f>
        <v>Providing and fixing Jungle wood door of frame 60 mm X 100 mm for second class door's and window with / without ventilator fan light and clear storey windows including chamfering / rounding rebating and hold fast finishing with one coat of primer etc. conplete. as directed.</v>
      </c>
      <c r="D22" s="37">
        <f>VLOOKUP(F22,RA!$A$2:D152,3,0)</f>
        <v>2976.7000000000003</v>
      </c>
      <c r="E22" s="37" t="str">
        <f>VLOOKUP(F22,RA!$A$2:D152,4,0)</f>
        <v>Sqm</v>
      </c>
      <c r="F22" s="39">
        <f>VLOOKUP(A22,MS!$B$9:O176,2,0)</f>
        <v>97</v>
      </c>
      <c r="G22" s="40">
        <f t="shared" ref="G22" si="1">ROUND(D22*B22,0)</f>
        <v>46853</v>
      </c>
    </row>
    <row r="23" spans="1:7" s="16" customFormat="1" x14ac:dyDescent="0.3">
      <c r="A23" s="36"/>
      <c r="B23" s="37"/>
      <c r="C23" s="38"/>
      <c r="D23" s="41"/>
      <c r="E23" s="42"/>
      <c r="F23" s="43"/>
      <c r="G23" s="40"/>
    </row>
    <row r="24" spans="1:7" x14ac:dyDescent="0.3">
      <c r="A24" s="44"/>
      <c r="B24" s="45"/>
      <c r="C24" s="46"/>
      <c r="D24" s="192" t="s">
        <v>235</v>
      </c>
      <c r="E24" s="193"/>
      <c r="F24" s="194"/>
      <c r="G24" s="47">
        <f>SUM(G11:G23)</f>
        <v>1073836</v>
      </c>
    </row>
    <row r="25" spans="1:7" x14ac:dyDescent="0.3">
      <c r="A25" s="44"/>
      <c r="B25" s="45"/>
      <c r="C25" s="46"/>
      <c r="D25" s="192" t="s">
        <v>236</v>
      </c>
      <c r="E25" s="193"/>
      <c r="F25" s="194"/>
      <c r="G25" s="47">
        <f>ROUNDUP(G24,2)</f>
        <v>1073836</v>
      </c>
    </row>
    <row r="26" spans="1:7" ht="16.2" x14ac:dyDescent="0.35">
      <c r="A26" s="6"/>
      <c r="B26" s="48" t="s">
        <v>237</v>
      </c>
      <c r="C26" s="49"/>
      <c r="D26" s="4"/>
      <c r="E26" s="4"/>
      <c r="F26" s="4"/>
      <c r="G26" s="4"/>
    </row>
    <row r="27" spans="1:7" x14ac:dyDescent="0.3">
      <c r="A27" s="6"/>
      <c r="B27" s="4"/>
      <c r="C27" s="49"/>
      <c r="D27" s="4"/>
      <c r="E27" s="4"/>
      <c r="F27" s="4"/>
      <c r="G27" s="4"/>
    </row>
    <row r="28" spans="1:7" x14ac:dyDescent="0.3">
      <c r="A28" s="6"/>
      <c r="B28" s="4"/>
      <c r="C28" s="49"/>
      <c r="D28" s="4"/>
      <c r="E28" s="4"/>
      <c r="F28" s="4"/>
      <c r="G28" s="4"/>
    </row>
    <row r="29" spans="1:7" x14ac:dyDescent="0.3">
      <c r="A29" s="6"/>
      <c r="B29" s="4"/>
      <c r="C29" s="49"/>
      <c r="D29" s="4"/>
      <c r="E29" s="4"/>
      <c r="F29" s="4"/>
      <c r="G29" s="4"/>
    </row>
    <row r="30" spans="1:7" x14ac:dyDescent="0.3">
      <c r="A30" s="6"/>
      <c r="B30" s="4"/>
      <c r="C30" s="49"/>
      <c r="D30" s="4"/>
      <c r="E30" s="86" t="s">
        <v>311</v>
      </c>
      <c r="F30" s="4"/>
      <c r="G30" s="4"/>
    </row>
    <row r="31" spans="1:7" x14ac:dyDescent="0.3">
      <c r="A31" s="6"/>
      <c r="B31" s="4"/>
      <c r="C31" s="49"/>
      <c r="D31" s="4"/>
      <c r="E31" s="87" t="s">
        <v>312</v>
      </c>
      <c r="F31" s="4"/>
      <c r="G31" s="4"/>
    </row>
    <row r="32" spans="1:7" x14ac:dyDescent="0.3">
      <c r="A32" s="6"/>
      <c r="B32" s="51" t="str">
        <f>[2]MS!A130</f>
        <v>(V.B.Nagose )</v>
      </c>
      <c r="C32" s="49"/>
      <c r="D32" s="4"/>
      <c r="E32" s="87" t="s">
        <v>313</v>
      </c>
      <c r="F32" s="4"/>
      <c r="G32" s="4"/>
    </row>
    <row r="33" spans="1:8" x14ac:dyDescent="0.3">
      <c r="A33" s="6"/>
      <c r="B33" s="4" t="str">
        <f>[2]MS!A131</f>
        <v>JE</v>
      </c>
      <c r="C33" s="49"/>
      <c r="D33" s="4"/>
      <c r="E33" s="87" t="s">
        <v>314</v>
      </c>
      <c r="F33" s="4"/>
      <c r="G33" s="4"/>
    </row>
    <row r="34" spans="1:8" x14ac:dyDescent="0.3">
      <c r="A34" s="6"/>
      <c r="B34" s="4"/>
      <c r="C34" s="49"/>
      <c r="D34" s="4"/>
      <c r="F34" s="4"/>
      <c r="G34" s="4"/>
    </row>
    <row r="35" spans="1:8" ht="16.2" x14ac:dyDescent="0.35">
      <c r="A35" s="6"/>
      <c r="B35" s="48" t="s">
        <v>238</v>
      </c>
      <c r="C35" s="49"/>
      <c r="D35" s="4"/>
      <c r="E35" s="4"/>
      <c r="F35" s="4"/>
      <c r="G35" s="4"/>
    </row>
    <row r="36" spans="1:8" x14ac:dyDescent="0.3">
      <c r="A36" s="6"/>
      <c r="B36" s="4"/>
      <c r="C36" s="49"/>
      <c r="D36" s="4"/>
      <c r="E36" s="4"/>
      <c r="F36" s="4"/>
      <c r="G36" s="4"/>
    </row>
    <row r="37" spans="1:8" x14ac:dyDescent="0.3">
      <c r="A37" s="6"/>
      <c r="B37" s="4"/>
      <c r="C37" s="49"/>
      <c r="D37" s="4"/>
      <c r="E37" s="87" t="s">
        <v>315</v>
      </c>
      <c r="F37" s="66"/>
      <c r="G37" s="31"/>
      <c r="H37" s="87"/>
    </row>
    <row r="38" spans="1:8" x14ac:dyDescent="0.3">
      <c r="A38" s="6"/>
      <c r="B38" s="52" t="str">
        <f>[2]MS!F131</f>
        <v>JE/AE-2</v>
      </c>
      <c r="C38" s="49"/>
      <c r="D38" s="4"/>
      <c r="E38" s="87" t="s">
        <v>316</v>
      </c>
      <c r="F38" s="31"/>
      <c r="G38" s="31"/>
      <c r="H38" s="87"/>
    </row>
    <row r="39" spans="1:8" x14ac:dyDescent="0.3">
      <c r="A39" s="6"/>
      <c r="B39" s="52"/>
      <c r="C39" s="49"/>
      <c r="D39" s="4"/>
      <c r="E39" s="87" t="s">
        <v>317</v>
      </c>
      <c r="F39" s="31"/>
      <c r="G39" s="31"/>
      <c r="H39" s="87"/>
    </row>
    <row r="40" spans="1:8" x14ac:dyDescent="0.3">
      <c r="A40" s="53"/>
      <c r="C40" s="54"/>
      <c r="D40" s="4"/>
      <c r="E40" s="87" t="s">
        <v>239</v>
      </c>
      <c r="F40" s="31"/>
      <c r="G40" s="31"/>
      <c r="H40" s="87"/>
    </row>
    <row r="41" spans="1:8" x14ac:dyDescent="0.3">
      <c r="A41" s="53"/>
      <c r="C41" s="54"/>
      <c r="D41" s="4"/>
      <c r="E41" s="4"/>
      <c r="F41" s="4"/>
      <c r="G41" s="4"/>
    </row>
  </sheetData>
  <mergeCells count="9">
    <mergeCell ref="A8:G8"/>
    <mergeCell ref="D24:F24"/>
    <mergeCell ref="D25:F25"/>
    <mergeCell ref="A1:G1"/>
    <mergeCell ref="A2:G2"/>
    <mergeCell ref="A3:G3"/>
    <mergeCell ref="A4:B4"/>
    <mergeCell ref="C4:G4"/>
    <mergeCell ref="D5:G5"/>
  </mergeCells>
  <pageMargins left="0.7" right="0.7" top="0.75" bottom="0.75" header="0.3" footer="0.3"/>
  <pageSetup scale="9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85"/>
  <sheetViews>
    <sheetView view="pageBreakPreview" zoomScale="68" zoomScaleNormal="97" workbookViewId="0">
      <selection activeCell="F159" sqref="F159"/>
    </sheetView>
  </sheetViews>
  <sheetFormatPr defaultColWidth="8.6640625" defaultRowHeight="15.6" x14ac:dyDescent="0.3"/>
  <cols>
    <col min="1" max="1" width="13.77734375" style="3" customWidth="1"/>
    <col min="2" max="2" width="4.88671875" style="6" customWidth="1"/>
    <col min="3" max="3" width="5.44140625" style="6" customWidth="1"/>
    <col min="4" max="4" width="5.44140625" style="3" customWidth="1"/>
    <col min="5" max="5" width="3.88671875" style="3" customWidth="1"/>
    <col min="6" max="6" width="8.44140625" style="3" customWidth="1"/>
    <col min="7" max="7" width="4.21875" style="3" customWidth="1"/>
    <col min="8" max="8" width="8.88671875" style="3" customWidth="1"/>
    <col min="9" max="9" width="4" style="3" customWidth="1"/>
    <col min="10" max="10" width="10" style="3" customWidth="1"/>
    <col min="11" max="11" width="3.33203125" style="3" customWidth="1"/>
    <col min="12" max="12" width="9.6640625" style="3" customWidth="1"/>
    <col min="13" max="13" width="13.5546875" style="156" customWidth="1"/>
    <col min="14" max="14" width="8.6640625" style="153"/>
    <col min="15" max="15" width="8.6640625" style="134"/>
    <col min="16" max="16384" width="8.6640625" style="2"/>
  </cols>
  <sheetData>
    <row r="1" spans="1:20" s="6" customFormat="1" ht="37.200000000000003" customHeight="1" x14ac:dyDescent="0.3">
      <c r="A1" s="195" t="s">
        <v>56</v>
      </c>
      <c r="B1" s="195"/>
      <c r="C1" s="195"/>
      <c r="D1" s="195"/>
      <c r="E1" s="195"/>
      <c r="F1" s="195"/>
      <c r="G1" s="195"/>
      <c r="H1" s="195"/>
      <c r="I1" s="195"/>
      <c r="J1" s="195"/>
      <c r="K1" s="195"/>
      <c r="L1" s="195"/>
      <c r="M1" s="195"/>
      <c r="N1" s="195"/>
    </row>
    <row r="2" spans="1:20" s="6" customFormat="1" x14ac:dyDescent="0.3">
      <c r="A2" s="196" t="s">
        <v>57</v>
      </c>
      <c r="B2" s="196"/>
      <c r="C2" s="196"/>
      <c r="D2" s="196"/>
      <c r="E2" s="196"/>
      <c r="F2" s="196"/>
      <c r="G2" s="196"/>
      <c r="H2" s="196"/>
      <c r="I2" s="196"/>
      <c r="J2" s="196"/>
      <c r="K2" s="196"/>
      <c r="L2" s="196"/>
      <c r="M2" s="196"/>
      <c r="N2" s="196"/>
    </row>
    <row r="3" spans="1:20" s="6" customFormat="1" ht="43.2" customHeight="1" x14ac:dyDescent="0.3">
      <c r="A3" s="206" t="s">
        <v>62</v>
      </c>
      <c r="B3" s="206"/>
      <c r="C3" s="206"/>
      <c r="D3" s="206"/>
      <c r="E3" s="206"/>
      <c r="F3" s="206"/>
      <c r="G3" s="206"/>
      <c r="H3" s="206"/>
      <c r="I3" s="206"/>
      <c r="J3" s="206"/>
      <c r="K3" s="206"/>
      <c r="L3" s="206"/>
      <c r="M3" s="206"/>
      <c r="N3" s="131"/>
    </row>
    <row r="4" spans="1:20" s="6" customFormat="1" x14ac:dyDescent="0.3">
      <c r="A4" s="7" t="s">
        <v>58</v>
      </c>
      <c r="B4" s="8"/>
      <c r="C4" s="11"/>
      <c r="D4" s="16" t="s">
        <v>337</v>
      </c>
      <c r="E4" s="16"/>
      <c r="F4" s="16"/>
      <c r="G4" s="16"/>
      <c r="H4" s="16"/>
      <c r="I4" s="16"/>
      <c r="J4" s="16"/>
      <c r="K4" s="16"/>
      <c r="L4" s="16"/>
      <c r="M4" s="9"/>
      <c r="N4" s="16"/>
    </row>
    <row r="5" spans="1:20" s="6" customFormat="1" x14ac:dyDescent="0.3">
      <c r="A5" s="7" t="s">
        <v>59</v>
      </c>
      <c r="B5" s="8"/>
      <c r="C5" s="10"/>
      <c r="D5" s="201">
        <v>193</v>
      </c>
      <c r="E5" s="201"/>
      <c r="F5" s="201"/>
      <c r="G5" s="201"/>
      <c r="H5" s="201"/>
      <c r="M5" s="9"/>
      <c r="N5" s="9"/>
    </row>
    <row r="6" spans="1:20" s="6" customFormat="1" x14ac:dyDescent="0.3">
      <c r="A6" s="202" t="s">
        <v>60</v>
      </c>
      <c r="B6" s="202"/>
      <c r="C6" s="11"/>
      <c r="D6" s="203" t="s">
        <v>319</v>
      </c>
      <c r="E6" s="204"/>
      <c r="F6" s="204"/>
      <c r="G6" s="204"/>
      <c r="H6" s="204"/>
      <c r="J6" s="132" t="s">
        <v>326</v>
      </c>
      <c r="K6" s="8" t="s">
        <v>327</v>
      </c>
      <c r="L6" s="132" t="s">
        <v>325</v>
      </c>
      <c r="M6" s="7"/>
      <c r="N6" s="132"/>
    </row>
    <row r="7" spans="1:20" s="6" customFormat="1" ht="22.8" customHeight="1" x14ac:dyDescent="0.3">
      <c r="A7" s="195" t="s">
        <v>61</v>
      </c>
      <c r="B7" s="195"/>
      <c r="C7" s="195"/>
      <c r="D7" s="195"/>
      <c r="E7" s="195"/>
      <c r="F7" s="195"/>
      <c r="G7" s="195"/>
      <c r="H7" s="195"/>
      <c r="I7" s="195"/>
      <c r="J7" s="195"/>
      <c r="K7" s="195"/>
      <c r="L7" s="195"/>
      <c r="M7" s="195"/>
      <c r="N7" s="195"/>
    </row>
    <row r="8" spans="1:20" s="14" customFormat="1" ht="34.200000000000003" customHeight="1" x14ac:dyDescent="0.35">
      <c r="A8" s="12"/>
      <c r="B8" s="13" t="s">
        <v>2</v>
      </c>
      <c r="C8" s="136" t="s">
        <v>63</v>
      </c>
      <c r="D8" s="195" t="s">
        <v>3</v>
      </c>
      <c r="E8" s="195"/>
      <c r="F8" s="195"/>
      <c r="G8" s="195"/>
      <c r="H8" s="195"/>
      <c r="I8" s="195"/>
      <c r="J8" s="195"/>
      <c r="K8" s="195"/>
      <c r="L8" s="195"/>
      <c r="M8" s="195"/>
      <c r="N8" s="133"/>
      <c r="O8" s="133"/>
    </row>
    <row r="9" spans="1:20" ht="101.4" customHeight="1" x14ac:dyDescent="0.25">
      <c r="A9" s="15"/>
      <c r="B9" s="8">
        <v>1</v>
      </c>
      <c r="C9" s="6">
        <v>1</v>
      </c>
      <c r="D9" s="205" t="str">
        <f>VLOOKUP(C9,RA!$A$2:D141,2,0)</f>
        <v>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v>
      </c>
      <c r="E9" s="205"/>
      <c r="F9" s="205"/>
      <c r="G9" s="205"/>
      <c r="H9" s="205"/>
      <c r="I9" s="205"/>
      <c r="J9" s="205"/>
      <c r="K9" s="205"/>
      <c r="L9" s="205"/>
      <c r="M9" s="205"/>
      <c r="N9" s="153">
        <f>+L16</f>
        <v>10.33</v>
      </c>
      <c r="P9" s="2">
        <f>3.6+3.6+3.5+3.8+5*0.15</f>
        <v>15.25</v>
      </c>
    </row>
    <row r="10" spans="1:20" ht="18" customHeight="1" x14ac:dyDescent="0.25">
      <c r="A10" s="2"/>
      <c r="B10" s="8"/>
      <c r="C10" s="23"/>
      <c r="D10" s="15" t="s">
        <v>320</v>
      </c>
      <c r="E10" s="15"/>
      <c r="F10" s="15"/>
      <c r="G10" s="15"/>
      <c r="H10" s="15"/>
      <c r="I10" s="15"/>
      <c r="J10" s="15"/>
      <c r="K10" s="15"/>
      <c r="L10" s="15"/>
      <c r="M10" s="154"/>
    </row>
    <row r="11" spans="1:20" x14ac:dyDescent="0.25">
      <c r="A11" s="15"/>
      <c r="B11" s="8"/>
      <c r="D11" s="8" t="s">
        <v>4</v>
      </c>
      <c r="E11" s="8" t="s">
        <v>65</v>
      </c>
      <c r="F11" s="8" t="s">
        <v>5</v>
      </c>
      <c r="G11" s="8" t="s">
        <v>65</v>
      </c>
      <c r="H11" s="8" t="s">
        <v>6</v>
      </c>
      <c r="I11" s="8" t="s">
        <v>65</v>
      </c>
      <c r="J11" s="8" t="s">
        <v>7</v>
      </c>
      <c r="K11" s="8" t="s">
        <v>66</v>
      </c>
      <c r="L11" s="8" t="s">
        <v>8</v>
      </c>
      <c r="M11" s="154" t="s">
        <v>9</v>
      </c>
    </row>
    <row r="12" spans="1:20" x14ac:dyDescent="0.25">
      <c r="A12" s="16" t="s">
        <v>328</v>
      </c>
      <c r="D12" s="17">
        <v>3</v>
      </c>
      <c r="E12" s="17" t="s">
        <v>65</v>
      </c>
      <c r="F12" s="18">
        <f>3.6+3.6+3.5+3.8+0.15*5+0.1</f>
        <v>15.35</v>
      </c>
      <c r="G12" s="18" t="s">
        <v>65</v>
      </c>
      <c r="H12" s="18">
        <v>0.25</v>
      </c>
      <c r="I12" s="18" t="s">
        <v>65</v>
      </c>
      <c r="J12" s="18">
        <v>0.4</v>
      </c>
      <c r="K12" s="18" t="s">
        <v>66</v>
      </c>
      <c r="L12" s="18">
        <f>PRODUCT(D12:J12)</f>
        <v>4.6049999999999995</v>
      </c>
      <c r="M12" s="9" t="s">
        <v>10</v>
      </c>
    </row>
    <row r="13" spans="1:20" x14ac:dyDescent="0.25">
      <c r="A13" s="16" t="s">
        <v>329</v>
      </c>
      <c r="D13" s="17">
        <v>5</v>
      </c>
      <c r="E13" s="17" t="s">
        <v>65</v>
      </c>
      <c r="F13" s="18">
        <f>5.9-0.1</f>
        <v>5.8000000000000007</v>
      </c>
      <c r="G13" s="18" t="s">
        <v>65</v>
      </c>
      <c r="H13" s="18">
        <v>0.25</v>
      </c>
      <c r="I13" s="18" t="s">
        <v>65</v>
      </c>
      <c r="J13" s="18">
        <v>0.4</v>
      </c>
      <c r="K13" s="18" t="s">
        <v>66</v>
      </c>
      <c r="L13" s="18">
        <f t="shared" ref="L13:L14" si="0">PRODUCT(D13:J13)</f>
        <v>2.9000000000000004</v>
      </c>
      <c r="M13" s="9" t="s">
        <v>10</v>
      </c>
    </row>
    <row r="14" spans="1:20" x14ac:dyDescent="0.25">
      <c r="A14" s="16" t="s">
        <v>329</v>
      </c>
      <c r="D14" s="17">
        <v>5</v>
      </c>
      <c r="E14" s="17" t="s">
        <v>65</v>
      </c>
      <c r="F14" s="18">
        <f>5.75-0.1</f>
        <v>5.65</v>
      </c>
      <c r="G14" s="18" t="s">
        <v>65</v>
      </c>
      <c r="H14" s="18">
        <v>0.25</v>
      </c>
      <c r="I14" s="18" t="s">
        <v>65</v>
      </c>
      <c r="J14" s="18">
        <v>0.4</v>
      </c>
      <c r="K14" s="18" t="s">
        <v>66</v>
      </c>
      <c r="L14" s="18">
        <f t="shared" si="0"/>
        <v>2.8250000000000002</v>
      </c>
      <c r="M14" s="9" t="s">
        <v>10</v>
      </c>
      <c r="T14" s="2">
        <f>3.6+3.6+3.6+3.5+0.15*3+0.15+0.25</f>
        <v>15.15</v>
      </c>
    </row>
    <row r="15" spans="1:20" x14ac:dyDescent="0.25">
      <c r="A15" s="16"/>
      <c r="D15" s="17"/>
      <c r="E15" s="17"/>
      <c r="F15" s="18"/>
      <c r="G15" s="18"/>
      <c r="H15" s="18"/>
      <c r="I15" s="18"/>
      <c r="J15" s="18"/>
      <c r="K15" s="18"/>
      <c r="L15" s="18"/>
      <c r="M15" s="9"/>
    </row>
    <row r="16" spans="1:20" x14ac:dyDescent="0.3">
      <c r="A16" s="15"/>
      <c r="B16" s="8"/>
      <c r="D16" s="8"/>
      <c r="E16" s="8"/>
      <c r="F16" s="8"/>
      <c r="G16" s="8"/>
      <c r="H16" s="19"/>
      <c r="I16" s="146"/>
      <c r="J16" s="147" t="s">
        <v>64</v>
      </c>
      <c r="K16" s="147" t="s">
        <v>66</v>
      </c>
      <c r="L16" s="148">
        <f>SUM(L12:L15)</f>
        <v>10.33</v>
      </c>
      <c r="M16" s="155" t="s">
        <v>10</v>
      </c>
    </row>
    <row r="17" spans="1:14" x14ac:dyDescent="0.3">
      <c r="D17" s="4"/>
      <c r="E17" s="4"/>
      <c r="F17" s="4"/>
      <c r="G17" s="4"/>
      <c r="H17" s="4"/>
      <c r="I17" s="4"/>
      <c r="J17" s="4"/>
      <c r="K17" s="4"/>
      <c r="L17" s="4"/>
    </row>
    <row r="18" spans="1:14" ht="41.4" customHeight="1" x14ac:dyDescent="0.3">
      <c r="B18" s="6">
        <f>+B9+1</f>
        <v>2</v>
      </c>
      <c r="C18" s="6">
        <v>4</v>
      </c>
      <c r="D18" s="205" t="str">
        <f>VLOOKUP(C18,RA!$A$2:D149,2,0)</f>
        <v>Providing dry/ trap/ granite/ quartzite/ gneiss rubble stone soling 15 cm to 20 cm thick including hand packing and compacting etc. complete.</v>
      </c>
      <c r="E18" s="205"/>
      <c r="F18" s="205"/>
      <c r="G18" s="205"/>
      <c r="H18" s="205"/>
      <c r="I18" s="205"/>
      <c r="J18" s="205"/>
      <c r="K18" s="205"/>
      <c r="L18" s="205"/>
      <c r="M18" s="205"/>
      <c r="N18" s="153">
        <f>+L25</f>
        <v>2.5825</v>
      </c>
    </row>
    <row r="19" spans="1:14" ht="18" customHeight="1" x14ac:dyDescent="0.25">
      <c r="A19" s="2"/>
      <c r="B19" s="8"/>
      <c r="D19" s="15" t="s">
        <v>67</v>
      </c>
      <c r="E19" s="8"/>
      <c r="F19" s="8"/>
      <c r="G19" s="8"/>
      <c r="H19" s="8"/>
      <c r="I19" s="8"/>
      <c r="J19" s="8"/>
      <c r="K19" s="8"/>
      <c r="L19" s="8"/>
      <c r="M19" s="154"/>
    </row>
    <row r="20" spans="1:14" x14ac:dyDescent="0.25">
      <c r="A20" s="15"/>
      <c r="B20" s="8"/>
      <c r="D20" s="8" t="s">
        <v>4</v>
      </c>
      <c r="E20" s="8" t="s">
        <v>65</v>
      </c>
      <c r="F20" s="8" t="s">
        <v>5</v>
      </c>
      <c r="G20" s="8" t="s">
        <v>65</v>
      </c>
      <c r="H20" s="8" t="s">
        <v>6</v>
      </c>
      <c r="I20" s="8" t="s">
        <v>65</v>
      </c>
      <c r="J20" s="8" t="s">
        <v>7</v>
      </c>
      <c r="K20" s="8" t="s">
        <v>66</v>
      </c>
      <c r="L20" s="8" t="s">
        <v>8</v>
      </c>
      <c r="M20" s="154" t="s">
        <v>9</v>
      </c>
    </row>
    <row r="21" spans="1:14" x14ac:dyDescent="0.25">
      <c r="A21" s="16" t="str">
        <f>+A12</f>
        <v>LW</v>
      </c>
      <c r="D21" s="17">
        <f>+D12</f>
        <v>3</v>
      </c>
      <c r="E21" s="17" t="s">
        <v>65</v>
      </c>
      <c r="F21" s="18">
        <f>+F12</f>
        <v>15.35</v>
      </c>
      <c r="G21" s="17" t="s">
        <v>65</v>
      </c>
      <c r="H21" s="18">
        <v>0.25</v>
      </c>
      <c r="I21" s="17" t="s">
        <v>65</v>
      </c>
      <c r="J21" s="18">
        <v>0.1</v>
      </c>
      <c r="K21" s="18" t="s">
        <v>66</v>
      </c>
      <c r="L21" s="18">
        <f t="shared" ref="L21:L23" si="1">PRODUCT(D21:J21)</f>
        <v>1.1512499999999999</v>
      </c>
      <c r="M21" s="9" t="s">
        <v>10</v>
      </c>
    </row>
    <row r="22" spans="1:14" x14ac:dyDescent="0.25">
      <c r="A22" s="16" t="str">
        <f t="shared" ref="A22:A23" si="2">+A13</f>
        <v>SW</v>
      </c>
      <c r="D22" s="17">
        <f t="shared" ref="D22:D23" si="3">+D13</f>
        <v>5</v>
      </c>
      <c r="E22" s="17" t="s">
        <v>65</v>
      </c>
      <c r="F22" s="18">
        <f t="shared" ref="F22:F23" si="4">+F13</f>
        <v>5.8000000000000007</v>
      </c>
      <c r="G22" s="17" t="s">
        <v>65</v>
      </c>
      <c r="H22" s="18">
        <v>0.25</v>
      </c>
      <c r="I22" s="17" t="s">
        <v>65</v>
      </c>
      <c r="J22" s="18">
        <v>0.1</v>
      </c>
      <c r="K22" s="18" t="s">
        <v>66</v>
      </c>
      <c r="L22" s="18">
        <f t="shared" si="1"/>
        <v>0.72500000000000009</v>
      </c>
      <c r="M22" s="9" t="s">
        <v>10</v>
      </c>
    </row>
    <row r="23" spans="1:14" x14ac:dyDescent="0.25">
      <c r="A23" s="16" t="str">
        <f t="shared" si="2"/>
        <v>SW</v>
      </c>
      <c r="D23" s="17">
        <f t="shared" si="3"/>
        <v>5</v>
      </c>
      <c r="E23" s="17" t="s">
        <v>65</v>
      </c>
      <c r="F23" s="18">
        <f t="shared" si="4"/>
        <v>5.65</v>
      </c>
      <c r="G23" s="17" t="s">
        <v>65</v>
      </c>
      <c r="H23" s="18">
        <v>0.25</v>
      </c>
      <c r="I23" s="17" t="s">
        <v>65</v>
      </c>
      <c r="J23" s="18">
        <v>0.1</v>
      </c>
      <c r="K23" s="18" t="s">
        <v>66</v>
      </c>
      <c r="L23" s="18">
        <f t="shared" si="1"/>
        <v>0.70625000000000004</v>
      </c>
      <c r="M23" s="9" t="s">
        <v>10</v>
      </c>
    </row>
    <row r="24" spans="1:14" x14ac:dyDescent="0.25">
      <c r="A24" s="16"/>
      <c r="D24" s="17"/>
      <c r="E24" s="17"/>
      <c r="F24" s="18"/>
      <c r="G24" s="17"/>
      <c r="H24" s="18"/>
      <c r="I24" s="17"/>
      <c r="J24" s="18"/>
      <c r="K24" s="18"/>
      <c r="L24" s="18"/>
      <c r="M24" s="9"/>
    </row>
    <row r="25" spans="1:14" x14ac:dyDescent="0.25">
      <c r="A25" s="15"/>
      <c r="B25" s="8"/>
      <c r="D25" s="8"/>
      <c r="E25" s="8"/>
      <c r="F25" s="8"/>
      <c r="G25" s="8"/>
      <c r="H25" s="8"/>
      <c r="I25" s="8"/>
      <c r="J25" s="147" t="s">
        <v>64</v>
      </c>
      <c r="K25" s="147" t="s">
        <v>66</v>
      </c>
      <c r="L25" s="148">
        <f>SUM(L21:L24)</f>
        <v>2.5825</v>
      </c>
      <c r="M25" s="155" t="s">
        <v>10</v>
      </c>
    </row>
    <row r="26" spans="1:14" x14ac:dyDescent="0.3">
      <c r="D26" s="4"/>
      <c r="E26" s="4"/>
      <c r="F26" s="4"/>
      <c r="G26" s="4"/>
      <c r="H26" s="4"/>
      <c r="I26" s="4"/>
      <c r="J26" s="4"/>
      <c r="K26" s="4"/>
      <c r="L26" s="4"/>
    </row>
    <row r="27" spans="1:14" ht="141.6" customHeight="1" x14ac:dyDescent="0.3">
      <c r="B27" s="6">
        <f>+B18+1</f>
        <v>3</v>
      </c>
      <c r="C27" s="6">
        <v>21</v>
      </c>
      <c r="D27" s="205" t="str">
        <f>VLOOKUP(C27,RA!$A$2:D157,2,0)</f>
        <v>Providing and laying Cast in situ/Ready Mix cement concrete M-20 of trap / granite /quartzite/ gneiss metal for R.C.C. beams and lintels as per detailed designs and drawings or as directed including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v>
      </c>
      <c r="E27" s="205"/>
      <c r="F27" s="205"/>
      <c r="G27" s="205"/>
      <c r="H27" s="205"/>
      <c r="I27" s="205"/>
      <c r="J27" s="205"/>
      <c r="K27" s="205"/>
      <c r="L27" s="205"/>
      <c r="M27" s="205"/>
      <c r="N27" s="153">
        <f>+L34</f>
        <v>7.7475000000000014</v>
      </c>
    </row>
    <row r="28" spans="1:14" ht="18" customHeight="1" x14ac:dyDescent="0.25">
      <c r="A28" s="2"/>
      <c r="B28" s="23"/>
      <c r="D28" s="15" t="s">
        <v>72</v>
      </c>
      <c r="E28" s="8"/>
      <c r="F28" s="8"/>
      <c r="G28" s="8"/>
      <c r="H28" s="8"/>
      <c r="I28" s="8"/>
      <c r="J28" s="8"/>
      <c r="K28" s="8"/>
      <c r="L28" s="8"/>
      <c r="M28" s="154"/>
    </row>
    <row r="29" spans="1:14" x14ac:dyDescent="0.25">
      <c r="A29" s="15"/>
      <c r="B29" s="8"/>
      <c r="D29" s="8" t="s">
        <v>4</v>
      </c>
      <c r="E29" s="8" t="s">
        <v>65</v>
      </c>
      <c r="F29" s="8" t="s">
        <v>5</v>
      </c>
      <c r="G29" s="8" t="s">
        <v>65</v>
      </c>
      <c r="H29" s="8" t="s">
        <v>6</v>
      </c>
      <c r="I29" s="8" t="s">
        <v>65</v>
      </c>
      <c r="J29" s="8" t="s">
        <v>7</v>
      </c>
      <c r="K29" s="8" t="s">
        <v>66</v>
      </c>
      <c r="L29" s="8" t="s">
        <v>8</v>
      </c>
      <c r="M29" s="154" t="s">
        <v>9</v>
      </c>
    </row>
    <row r="30" spans="1:14" x14ac:dyDescent="0.25">
      <c r="A30" s="16" t="str">
        <f>+A21</f>
        <v>LW</v>
      </c>
      <c r="D30" s="17">
        <f>+D21</f>
        <v>3</v>
      </c>
      <c r="E30" s="17" t="s">
        <v>65</v>
      </c>
      <c r="F30" s="18">
        <f>+F21</f>
        <v>15.35</v>
      </c>
      <c r="G30" s="17" t="s">
        <v>65</v>
      </c>
      <c r="H30" s="18">
        <v>0.25</v>
      </c>
      <c r="I30" s="17" t="s">
        <v>65</v>
      </c>
      <c r="J30" s="18">
        <v>0.30000000000000004</v>
      </c>
      <c r="K30" s="18" t="s">
        <v>66</v>
      </c>
      <c r="L30" s="18">
        <f t="shared" ref="L30:L32" si="5">PRODUCT(D30:J30)</f>
        <v>3.4537500000000003</v>
      </c>
      <c r="M30" s="9" t="s">
        <v>10</v>
      </c>
    </row>
    <row r="31" spans="1:14" x14ac:dyDescent="0.25">
      <c r="A31" s="16" t="str">
        <f t="shared" ref="A31:A32" si="6">+A22</f>
        <v>SW</v>
      </c>
      <c r="D31" s="17">
        <f t="shared" ref="D31:D32" si="7">+D22</f>
        <v>5</v>
      </c>
      <c r="E31" s="17" t="s">
        <v>65</v>
      </c>
      <c r="F31" s="18">
        <f t="shared" ref="F31:F32" si="8">+F22</f>
        <v>5.8000000000000007</v>
      </c>
      <c r="G31" s="17" t="s">
        <v>65</v>
      </c>
      <c r="H31" s="18">
        <v>0.25</v>
      </c>
      <c r="I31" s="17" t="s">
        <v>65</v>
      </c>
      <c r="J31" s="18">
        <v>0.30000000000000004</v>
      </c>
      <c r="K31" s="18" t="s">
        <v>66</v>
      </c>
      <c r="L31" s="18">
        <f t="shared" si="5"/>
        <v>2.1750000000000007</v>
      </c>
      <c r="M31" s="9" t="s">
        <v>10</v>
      </c>
    </row>
    <row r="32" spans="1:14" x14ac:dyDescent="0.25">
      <c r="A32" s="16" t="str">
        <f t="shared" si="6"/>
        <v>SW</v>
      </c>
      <c r="D32" s="17">
        <f t="shared" si="7"/>
        <v>5</v>
      </c>
      <c r="E32" s="17" t="s">
        <v>65</v>
      </c>
      <c r="F32" s="18">
        <f t="shared" si="8"/>
        <v>5.65</v>
      </c>
      <c r="G32" s="17" t="s">
        <v>65</v>
      </c>
      <c r="H32" s="18">
        <v>0.25</v>
      </c>
      <c r="I32" s="17" t="s">
        <v>65</v>
      </c>
      <c r="J32" s="18">
        <v>0.30000000000000004</v>
      </c>
      <c r="K32" s="18" t="s">
        <v>66</v>
      </c>
      <c r="L32" s="18">
        <f t="shared" si="5"/>
        <v>2.1187500000000004</v>
      </c>
      <c r="M32" s="9" t="s">
        <v>10</v>
      </c>
    </row>
    <row r="33" spans="1:18" x14ac:dyDescent="0.25">
      <c r="A33" s="16"/>
      <c r="D33" s="17"/>
      <c r="E33" s="17"/>
      <c r="F33" s="18"/>
      <c r="G33" s="17"/>
      <c r="H33" s="18"/>
      <c r="I33" s="17"/>
      <c r="J33" s="18"/>
      <c r="K33" s="18"/>
      <c r="L33" s="18"/>
      <c r="M33" s="9"/>
    </row>
    <row r="34" spans="1:18" x14ac:dyDescent="0.25">
      <c r="A34" s="15"/>
      <c r="B34" s="8"/>
      <c r="D34" s="8"/>
      <c r="E34" s="8"/>
      <c r="F34" s="8"/>
      <c r="G34" s="8"/>
      <c r="H34" s="8"/>
      <c r="I34" s="8"/>
      <c r="J34" s="147" t="s">
        <v>64</v>
      </c>
      <c r="K34" s="147" t="s">
        <v>66</v>
      </c>
      <c r="L34" s="148">
        <f>SUM(L30:L33)</f>
        <v>7.7475000000000014</v>
      </c>
      <c r="M34" s="155" t="s">
        <v>10</v>
      </c>
    </row>
    <row r="35" spans="1:18" x14ac:dyDescent="0.3">
      <c r="D35" s="4"/>
      <c r="E35" s="4"/>
      <c r="F35" s="4"/>
      <c r="G35" s="4"/>
      <c r="H35" s="4"/>
      <c r="I35" s="4"/>
      <c r="J35" s="4"/>
      <c r="K35" s="4"/>
      <c r="L35" s="22"/>
    </row>
    <row r="36" spans="1:18" ht="105.6" customHeight="1" x14ac:dyDescent="0.3">
      <c r="B36" s="6">
        <f>+B27+1</f>
        <v>4</v>
      </c>
      <c r="C36" s="6">
        <v>121</v>
      </c>
      <c r="D36" s="205" t="str">
        <f>VLOOKUP(C36,RA!$A$2:D165,2,0)</f>
        <v>Providing and fixing in position TMT - FE - 500 bar reinforcement of various diameters for R.C.C. pile caps,footings, foundations, slabs, beams columns, canopies,staircase, newels, chajjas, lintels pardis, copings, fins,arches etc. as per detailed designs, drawings and schedules. including cutting, bending, hooking the bars,binding with wires or tack welding and supporting as required complete as directed.</v>
      </c>
      <c r="E36" s="205"/>
      <c r="F36" s="205"/>
      <c r="G36" s="205"/>
      <c r="H36" s="205"/>
      <c r="I36" s="205"/>
      <c r="J36" s="205"/>
      <c r="K36" s="205"/>
      <c r="L36" s="205"/>
      <c r="M36" s="205"/>
      <c r="N36" s="153">
        <f>+L41</f>
        <v>4.29</v>
      </c>
    </row>
    <row r="37" spans="1:18" ht="18" customHeight="1" x14ac:dyDescent="0.25">
      <c r="A37" s="2"/>
      <c r="B37" s="23"/>
      <c r="D37" s="15" t="s">
        <v>322</v>
      </c>
      <c r="E37" s="8"/>
      <c r="F37" s="8"/>
      <c r="G37" s="8"/>
      <c r="H37" s="8"/>
      <c r="I37" s="8"/>
      <c r="J37" s="8"/>
      <c r="K37" s="8" t="s">
        <v>66</v>
      </c>
      <c r="L37" s="8" t="s">
        <v>8</v>
      </c>
      <c r="M37" s="154" t="s">
        <v>9</v>
      </c>
    </row>
    <row r="38" spans="1:18" s="1" customFormat="1" ht="19.5" customHeight="1" x14ac:dyDescent="0.3">
      <c r="A38" s="138" t="str">
        <f>+D28</f>
        <v xml:space="preserve">RCC GROUND BEAM </v>
      </c>
      <c r="B38" s="139"/>
      <c r="F38" s="5">
        <f>+L34</f>
        <v>7.7475000000000014</v>
      </c>
      <c r="G38" s="1" t="s">
        <v>65</v>
      </c>
      <c r="H38" s="5">
        <v>50</v>
      </c>
      <c r="I38" s="138" t="s">
        <v>323</v>
      </c>
      <c r="J38" s="5"/>
      <c r="K38" s="1" t="s">
        <v>261</v>
      </c>
      <c r="L38" s="140">
        <f>ROUND(PRODUCT(E38:J38)/100,2)</f>
        <v>3.87</v>
      </c>
      <c r="M38" s="141" t="s">
        <v>150</v>
      </c>
      <c r="N38" s="5"/>
    </row>
    <row r="39" spans="1:18" s="1" customFormat="1" x14ac:dyDescent="0.3">
      <c r="A39" s="138" t="str">
        <f>+D56</f>
        <v>RCC COLUMNS</v>
      </c>
      <c r="B39" s="139"/>
      <c r="F39" s="5">
        <f>+L60</f>
        <v>0.84217500000000001</v>
      </c>
      <c r="G39" s="1" t="s">
        <v>65</v>
      </c>
      <c r="H39" s="5">
        <v>50</v>
      </c>
      <c r="I39" s="138" t="s">
        <v>323</v>
      </c>
      <c r="J39" s="5"/>
      <c r="K39" s="1" t="s">
        <v>261</v>
      </c>
      <c r="L39" s="140">
        <f>ROUND(PRODUCT(E39:J39)/100,2)</f>
        <v>0.42</v>
      </c>
      <c r="M39" s="141" t="s">
        <v>150</v>
      </c>
      <c r="N39" s="5"/>
    </row>
    <row r="40" spans="1:18" s="1" customFormat="1" x14ac:dyDescent="0.3">
      <c r="A40" s="138"/>
      <c r="B40" s="139"/>
      <c r="F40" s="5"/>
      <c r="H40" s="5"/>
      <c r="I40" s="138"/>
      <c r="J40" s="5"/>
      <c r="L40" s="140"/>
      <c r="M40" s="141"/>
      <c r="N40" s="5"/>
    </row>
    <row r="41" spans="1:18" s="1" customFormat="1" ht="15.6" customHeight="1" x14ac:dyDescent="0.3">
      <c r="A41" s="138"/>
      <c r="B41" s="142"/>
      <c r="C41" s="143"/>
      <c r="D41" s="143"/>
      <c r="F41" s="143"/>
      <c r="G41" s="143"/>
      <c r="H41" s="149"/>
      <c r="I41" s="149"/>
      <c r="J41" s="150"/>
      <c r="K41" s="150" t="s">
        <v>324</v>
      </c>
      <c r="L41" s="151">
        <f>SUM(L38:L40)</f>
        <v>4.29</v>
      </c>
      <c r="M41" s="152" t="s">
        <v>150</v>
      </c>
      <c r="N41" s="5"/>
    </row>
    <row r="42" spans="1:18" x14ac:dyDescent="0.3">
      <c r="D42" s="4"/>
      <c r="E42" s="4"/>
      <c r="F42" s="4"/>
      <c r="G42" s="4"/>
      <c r="H42" s="4"/>
      <c r="I42" s="4"/>
      <c r="J42" s="4"/>
      <c r="K42" s="4"/>
      <c r="L42" s="4"/>
    </row>
    <row r="43" spans="1:18" ht="90.6" customHeight="1" x14ac:dyDescent="0.3">
      <c r="B43" s="6">
        <f>+B36+1</f>
        <v>5</v>
      </c>
      <c r="C43" s="6">
        <v>19.100000000000001</v>
      </c>
      <c r="D43" s="205" t="str">
        <f>VLOOKUP(C43,RA!$A$2:D165,2,0)</f>
        <v>Providing Autoclaved Aerated Concrete Block masonary of conforming to IS:2185 (Part3) -1984 in extra fine jointing mortar of fix o block of UltraTechor equivalent in superstructure including striking joints ,raking out joints and scaffolding etc. Complete. (The test shall be carried out conforming to IS:6441 (Part I) - 1972)</v>
      </c>
      <c r="E43" s="205"/>
      <c r="F43" s="205"/>
      <c r="G43" s="205"/>
      <c r="H43" s="205"/>
      <c r="I43" s="205"/>
      <c r="J43" s="205"/>
      <c r="K43" s="205"/>
      <c r="L43" s="205"/>
      <c r="M43" s="205"/>
      <c r="N43" s="153">
        <f>+L53</f>
        <v>28.370999999999995</v>
      </c>
    </row>
    <row r="44" spans="1:18" ht="18" customHeight="1" x14ac:dyDescent="0.25">
      <c r="A44" s="2"/>
      <c r="B44" s="8"/>
      <c r="D44" s="15" t="s">
        <v>71</v>
      </c>
      <c r="E44" s="8"/>
      <c r="F44" s="8"/>
      <c r="G44" s="8"/>
      <c r="H44" s="8"/>
      <c r="I44" s="8"/>
      <c r="J44" s="8"/>
      <c r="K44" s="8"/>
      <c r="L44" s="8"/>
      <c r="M44" s="154"/>
    </row>
    <row r="45" spans="1:18" x14ac:dyDescent="0.25">
      <c r="A45" s="15"/>
      <c r="B45" s="8"/>
      <c r="D45" s="8" t="s">
        <v>4</v>
      </c>
      <c r="E45" s="8" t="s">
        <v>65</v>
      </c>
      <c r="F45" s="8" t="s">
        <v>5</v>
      </c>
      <c r="G45" s="8" t="s">
        <v>65</v>
      </c>
      <c r="H45" s="8" t="s">
        <v>6</v>
      </c>
      <c r="I45" s="8" t="s">
        <v>65</v>
      </c>
      <c r="J45" s="8" t="s">
        <v>7</v>
      </c>
      <c r="K45" s="8" t="s">
        <v>66</v>
      </c>
      <c r="L45" s="8" t="s">
        <v>8</v>
      </c>
      <c r="M45" s="154" t="s">
        <v>9</v>
      </c>
    </row>
    <row r="46" spans="1:18" x14ac:dyDescent="0.25">
      <c r="A46" s="16" t="str">
        <f>+A30</f>
        <v>LW</v>
      </c>
      <c r="D46" s="17">
        <f>+D30</f>
        <v>3</v>
      </c>
      <c r="E46" s="17" t="s">
        <v>65</v>
      </c>
      <c r="F46" s="18">
        <f>+F30-0.05-0.05</f>
        <v>15.249999999999998</v>
      </c>
      <c r="G46" s="17" t="s">
        <v>65</v>
      </c>
      <c r="H46" s="18">
        <v>0.15</v>
      </c>
      <c r="I46" s="17" t="s">
        <v>65</v>
      </c>
      <c r="J46" s="18">
        <v>1.97</v>
      </c>
      <c r="K46" s="18" t="s">
        <v>66</v>
      </c>
      <c r="L46" s="18">
        <f t="shared" ref="L46:L48" si="9">PRODUCT(D46:J46)</f>
        <v>13.519124999999997</v>
      </c>
      <c r="M46" s="9" t="s">
        <v>10</v>
      </c>
      <c r="R46" s="2">
        <f>3.6*3+3.5+0.15*5</f>
        <v>15.05</v>
      </c>
    </row>
    <row r="47" spans="1:18" x14ac:dyDescent="0.25">
      <c r="A47" s="16" t="str">
        <f t="shared" ref="A47:A48" si="10">+A31</f>
        <v>SW</v>
      </c>
      <c r="D47" s="17">
        <f t="shared" ref="D47:D48" si="11">+D31</f>
        <v>5</v>
      </c>
      <c r="E47" s="17" t="s">
        <v>65</v>
      </c>
      <c r="F47" s="18">
        <f>+F31+0.05+0.05</f>
        <v>5.9</v>
      </c>
      <c r="G47" s="17" t="s">
        <v>65</v>
      </c>
      <c r="H47" s="18">
        <v>0.15</v>
      </c>
      <c r="I47" s="17" t="s">
        <v>65</v>
      </c>
      <c r="J47" s="18">
        <v>1.97</v>
      </c>
      <c r="K47" s="18" t="s">
        <v>66</v>
      </c>
      <c r="L47" s="18">
        <f t="shared" si="9"/>
        <v>8.7172499999999999</v>
      </c>
      <c r="M47" s="9" t="s">
        <v>10</v>
      </c>
    </row>
    <row r="48" spans="1:18" x14ac:dyDescent="0.25">
      <c r="A48" s="16" t="str">
        <f t="shared" si="10"/>
        <v>SW</v>
      </c>
      <c r="D48" s="17">
        <f t="shared" si="11"/>
        <v>5</v>
      </c>
      <c r="E48" s="17" t="s">
        <v>65</v>
      </c>
      <c r="F48" s="18">
        <f>+F32+0.05+0.05</f>
        <v>5.75</v>
      </c>
      <c r="G48" s="17" t="s">
        <v>65</v>
      </c>
      <c r="H48" s="18">
        <v>0.15</v>
      </c>
      <c r="I48" s="17" t="s">
        <v>65</v>
      </c>
      <c r="J48" s="18">
        <v>1.97</v>
      </c>
      <c r="K48" s="18" t="s">
        <v>66</v>
      </c>
      <c r="L48" s="18">
        <f t="shared" si="9"/>
        <v>8.4956250000000004</v>
      </c>
      <c r="M48" s="9" t="s">
        <v>10</v>
      </c>
    </row>
    <row r="49" spans="1:14" x14ac:dyDescent="0.25">
      <c r="A49" s="15"/>
      <c r="B49" s="8"/>
      <c r="D49" s="154" t="s">
        <v>330</v>
      </c>
      <c r="E49" s="8"/>
      <c r="F49" s="8"/>
      <c r="G49" s="8"/>
      <c r="H49" s="8"/>
      <c r="I49" s="8"/>
      <c r="J49" s="8" t="s">
        <v>64</v>
      </c>
      <c r="K49" s="8" t="s">
        <v>66</v>
      </c>
      <c r="L49" s="144">
        <f>SUM(L46:L48)</f>
        <v>30.731999999999996</v>
      </c>
      <c r="M49" s="154" t="s">
        <v>10</v>
      </c>
    </row>
    <row r="50" spans="1:14" x14ac:dyDescent="0.25">
      <c r="A50" s="16" t="s">
        <v>331</v>
      </c>
      <c r="D50" s="17">
        <v>8</v>
      </c>
      <c r="E50" s="17" t="s">
        <v>65</v>
      </c>
      <c r="F50" s="18">
        <v>0.85</v>
      </c>
      <c r="G50" s="17" t="s">
        <v>65</v>
      </c>
      <c r="H50" s="18">
        <v>1.75</v>
      </c>
      <c r="I50" s="17" t="s">
        <v>65</v>
      </c>
      <c r="J50" s="18">
        <v>0.15</v>
      </c>
      <c r="K50" s="18" t="s">
        <v>66</v>
      </c>
      <c r="L50" s="18">
        <f>-PRODUCT(D50:J50)</f>
        <v>-1.7849999999999999</v>
      </c>
      <c r="M50" s="9" t="s">
        <v>10</v>
      </c>
    </row>
    <row r="51" spans="1:14" x14ac:dyDescent="0.25">
      <c r="A51" s="16" t="s">
        <v>332</v>
      </c>
      <c r="D51" s="17">
        <v>8</v>
      </c>
      <c r="E51" s="17" t="s">
        <v>65</v>
      </c>
      <c r="F51" s="18">
        <v>0.6</v>
      </c>
      <c r="G51" s="17" t="s">
        <v>65</v>
      </c>
      <c r="H51" s="18">
        <v>0.8</v>
      </c>
      <c r="I51" s="17" t="s">
        <v>65</v>
      </c>
      <c r="J51" s="18">
        <v>0.15</v>
      </c>
      <c r="K51" s="18" t="s">
        <v>66</v>
      </c>
      <c r="L51" s="18">
        <f>-PRODUCT(D51:J51)</f>
        <v>-0.57599999999999996</v>
      </c>
      <c r="M51" s="9" t="s">
        <v>10</v>
      </c>
    </row>
    <row r="52" spans="1:14" x14ac:dyDescent="0.25">
      <c r="A52" s="16"/>
      <c r="D52" s="17"/>
      <c r="E52" s="17"/>
      <c r="F52" s="18"/>
      <c r="G52" s="17"/>
      <c r="H52" s="18"/>
      <c r="I52" s="17"/>
      <c r="J52" s="18"/>
      <c r="K52" s="18"/>
      <c r="L52" s="18"/>
      <c r="M52" s="9"/>
    </row>
    <row r="53" spans="1:14" x14ac:dyDescent="0.25">
      <c r="A53" s="15"/>
      <c r="B53" s="8"/>
      <c r="D53" s="8"/>
      <c r="E53" s="8"/>
      <c r="F53" s="8"/>
      <c r="G53" s="8"/>
      <c r="H53" s="8"/>
      <c r="I53" s="8"/>
      <c r="J53" s="147" t="s">
        <v>68</v>
      </c>
      <c r="K53" s="147" t="s">
        <v>66</v>
      </c>
      <c r="L53" s="148">
        <f>SUM(L49:L52)</f>
        <v>28.370999999999995</v>
      </c>
      <c r="M53" s="155" t="s">
        <v>10</v>
      </c>
    </row>
    <row r="54" spans="1:14" x14ac:dyDescent="0.3">
      <c r="D54" s="4"/>
      <c r="E54" s="4"/>
      <c r="F54" s="4"/>
      <c r="G54" s="4"/>
      <c r="H54" s="4"/>
      <c r="I54" s="4"/>
      <c r="J54" s="4"/>
      <c r="K54" s="4"/>
      <c r="L54" s="4"/>
    </row>
    <row r="55" spans="1:14" ht="151.19999999999999" customHeight="1" x14ac:dyDescent="0.3">
      <c r="B55" s="6">
        <f>+B43+1</f>
        <v>6</v>
      </c>
      <c r="C55" s="6">
        <v>6</v>
      </c>
      <c r="D55" s="205" t="str">
        <f>VLOOKUP(C55,RA!$A$2:D176,2,0)</f>
        <v>Providing and laying in situ/Ready Mix cement concrete M-20 of trap / granite /quartzite/ gneiss metal for R.C.C. work in foundations like raft, strip foundations, grillage and footings of R.C.C. columns and steel stanchions etc. including bailing out water, formwork, laying/pumping cover blocks, compaction and curing roughening the surface if special finish is to be provided (Excluding reinforcement and structural steel) etc.complete, with fully automatic micro processor based PLC with SCADA enabled reversible Drum Type mixer/ concrete Batch mix plant (Pan mixer) etc. complete. fine aggregate (crushed sand VSI grade)</v>
      </c>
      <c r="E55" s="205"/>
      <c r="F55" s="205"/>
      <c r="G55" s="205"/>
      <c r="H55" s="205"/>
      <c r="I55" s="205"/>
      <c r="J55" s="205"/>
      <c r="K55" s="205"/>
      <c r="L55" s="205"/>
      <c r="M55" s="205"/>
      <c r="N55" s="153">
        <f>+L60</f>
        <v>0.84217500000000001</v>
      </c>
    </row>
    <row r="56" spans="1:14" ht="18" customHeight="1" x14ac:dyDescent="0.25">
      <c r="A56" s="2"/>
      <c r="B56" s="8"/>
      <c r="D56" s="15" t="s">
        <v>70</v>
      </c>
      <c r="E56" s="8"/>
      <c r="F56" s="8"/>
      <c r="G56" s="8"/>
      <c r="H56" s="8"/>
      <c r="I56" s="8"/>
      <c r="J56" s="8"/>
      <c r="K56" s="8"/>
      <c r="L56" s="8"/>
      <c r="M56" s="154"/>
    </row>
    <row r="57" spans="1:14" x14ac:dyDescent="0.25">
      <c r="A57" s="15"/>
      <c r="B57" s="8"/>
      <c r="D57" s="8" t="s">
        <v>4</v>
      </c>
      <c r="E57" s="8" t="s">
        <v>65</v>
      </c>
      <c r="F57" s="8" t="s">
        <v>5</v>
      </c>
      <c r="G57" s="8" t="s">
        <v>65</v>
      </c>
      <c r="H57" s="8" t="s">
        <v>6</v>
      </c>
      <c r="I57" s="8" t="s">
        <v>65</v>
      </c>
      <c r="J57" s="8" t="s">
        <v>7</v>
      </c>
      <c r="K57" s="8" t="s">
        <v>66</v>
      </c>
      <c r="L57" s="8" t="s">
        <v>8</v>
      </c>
      <c r="M57" s="154" t="s">
        <v>9</v>
      </c>
    </row>
    <row r="58" spans="1:14" x14ac:dyDescent="0.25">
      <c r="A58" s="16" t="s">
        <v>11</v>
      </c>
      <c r="D58" s="17">
        <v>19</v>
      </c>
      <c r="E58" s="17" t="s">
        <v>65</v>
      </c>
      <c r="F58" s="18">
        <v>0.15</v>
      </c>
      <c r="G58" s="18" t="s">
        <v>65</v>
      </c>
      <c r="H58" s="18">
        <v>0.15</v>
      </c>
      <c r="I58" s="18" t="s">
        <v>65</v>
      </c>
      <c r="J58" s="18">
        <v>1.97</v>
      </c>
      <c r="K58" s="18" t="s">
        <v>66</v>
      </c>
      <c r="L58" s="18">
        <f>PRODUCT(D58:J58)</f>
        <v>0.84217500000000001</v>
      </c>
      <c r="M58" s="9" t="s">
        <v>10</v>
      </c>
    </row>
    <row r="59" spans="1:14" x14ac:dyDescent="0.25">
      <c r="A59" s="16"/>
      <c r="D59" s="17"/>
      <c r="E59" s="17"/>
      <c r="F59" s="18"/>
      <c r="G59" s="18"/>
      <c r="H59" s="18"/>
      <c r="I59" s="18"/>
      <c r="J59" s="18"/>
      <c r="K59" s="18"/>
      <c r="L59" s="18"/>
      <c r="M59" s="9"/>
    </row>
    <row r="60" spans="1:14" x14ac:dyDescent="0.25">
      <c r="A60" s="15"/>
      <c r="B60" s="8"/>
      <c r="D60" s="8"/>
      <c r="E60" s="8"/>
      <c r="F60" s="8"/>
      <c r="G60" s="8"/>
      <c r="H60" s="8"/>
      <c r="I60" s="8"/>
      <c r="J60" s="147" t="s">
        <v>64</v>
      </c>
      <c r="K60" s="147" t="s">
        <v>66</v>
      </c>
      <c r="L60" s="148">
        <f>SUM(L58:L59)</f>
        <v>0.84217500000000001</v>
      </c>
      <c r="M60" s="155" t="s">
        <v>10</v>
      </c>
    </row>
    <row r="61" spans="1:14" x14ac:dyDescent="0.3">
      <c r="D61" s="4"/>
      <c r="E61" s="4"/>
      <c r="F61" s="4"/>
      <c r="G61" s="4"/>
      <c r="H61" s="4"/>
      <c r="I61" s="4"/>
      <c r="J61" s="4"/>
      <c r="K61" s="4"/>
      <c r="L61" s="4"/>
    </row>
    <row r="62" spans="1:14" ht="55.2" customHeight="1" x14ac:dyDescent="0.3">
      <c r="B62" s="6">
        <f>+B55+1</f>
        <v>7</v>
      </c>
      <c r="C62" s="6">
        <v>68</v>
      </c>
      <c r="D62" s="205" t="str">
        <f>VLOOKUP(C62,RA!$A$2:D182,2,0)</f>
        <v>Providing and fixing Jungle (hard) wood of approved species joist and girder in timber floor of single, double or frame type including scafolding if necessary and one primer coat etc. complete</v>
      </c>
      <c r="E62" s="205"/>
      <c r="F62" s="205"/>
      <c r="G62" s="205"/>
      <c r="H62" s="205"/>
      <c r="I62" s="205"/>
      <c r="J62" s="205"/>
      <c r="K62" s="205"/>
      <c r="L62" s="205"/>
      <c r="M62" s="205"/>
      <c r="N62" s="153">
        <f>+L106</f>
        <v>5.1372</v>
      </c>
    </row>
    <row r="63" spans="1:14" ht="18" customHeight="1" x14ac:dyDescent="0.25">
      <c r="A63" s="2"/>
      <c r="B63" s="8"/>
      <c r="D63" s="15" t="s">
        <v>73</v>
      </c>
      <c r="E63" s="8"/>
      <c r="F63" s="8"/>
      <c r="G63" s="8"/>
      <c r="H63" s="8"/>
      <c r="I63" s="8"/>
      <c r="J63" s="8"/>
      <c r="K63" s="8"/>
      <c r="L63" s="8"/>
      <c r="M63" s="154"/>
    </row>
    <row r="64" spans="1:14" x14ac:dyDescent="0.25">
      <c r="A64" s="15" t="s">
        <v>3</v>
      </c>
      <c r="B64" s="8"/>
      <c r="D64" s="8" t="s">
        <v>4</v>
      </c>
      <c r="E64" s="8" t="s">
        <v>65</v>
      </c>
      <c r="F64" s="8" t="s">
        <v>5</v>
      </c>
      <c r="G64" s="8" t="s">
        <v>65</v>
      </c>
      <c r="H64" s="8" t="s">
        <v>6</v>
      </c>
      <c r="I64" s="8" t="s">
        <v>65</v>
      </c>
      <c r="J64" s="8" t="s">
        <v>7</v>
      </c>
      <c r="K64" s="8" t="s">
        <v>66</v>
      </c>
      <c r="L64" s="8" t="s">
        <v>8</v>
      </c>
      <c r="M64" s="154" t="s">
        <v>9</v>
      </c>
    </row>
    <row r="65" spans="1:13" x14ac:dyDescent="0.25">
      <c r="A65" s="2"/>
      <c r="B65" s="8"/>
      <c r="D65" s="15" t="s">
        <v>12</v>
      </c>
      <c r="E65" s="8"/>
      <c r="F65" s="8"/>
      <c r="G65" s="8"/>
      <c r="H65" s="8"/>
      <c r="I65" s="8"/>
      <c r="J65" s="8"/>
      <c r="K65" s="18"/>
      <c r="L65" s="8"/>
      <c r="M65" s="154"/>
    </row>
    <row r="66" spans="1:13" x14ac:dyDescent="0.25">
      <c r="A66" s="16" t="s">
        <v>13</v>
      </c>
      <c r="D66" s="17">
        <v>12</v>
      </c>
      <c r="E66" s="17" t="s">
        <v>65</v>
      </c>
      <c r="F66" s="18">
        <v>1.97</v>
      </c>
      <c r="G66" s="17" t="s">
        <v>65</v>
      </c>
      <c r="H66" s="18">
        <v>0.08</v>
      </c>
      <c r="I66" s="17" t="s">
        <v>65</v>
      </c>
      <c r="J66" s="18">
        <v>0.1</v>
      </c>
      <c r="K66" s="8" t="s">
        <v>66</v>
      </c>
      <c r="L66" s="18">
        <f>PRODUCT(D66:J66)</f>
        <v>0.18912000000000001</v>
      </c>
      <c r="M66" s="9" t="s">
        <v>10</v>
      </c>
    </row>
    <row r="67" spans="1:13" x14ac:dyDescent="0.25">
      <c r="A67" s="16" t="s">
        <v>14</v>
      </c>
      <c r="D67" s="17">
        <v>8</v>
      </c>
      <c r="E67" s="17" t="s">
        <v>65</v>
      </c>
      <c r="F67" s="18">
        <v>1.97</v>
      </c>
      <c r="G67" s="17" t="s">
        <v>65</v>
      </c>
      <c r="H67" s="18">
        <v>0.08</v>
      </c>
      <c r="I67" s="17" t="s">
        <v>65</v>
      </c>
      <c r="J67" s="18">
        <v>0.1</v>
      </c>
      <c r="K67" s="8" t="s">
        <v>66</v>
      </c>
      <c r="L67" s="18">
        <f t="shared" ref="L67:L73" si="12">PRODUCT(D67:J67)</f>
        <v>0.12608</v>
      </c>
      <c r="M67" s="9" t="s">
        <v>10</v>
      </c>
    </row>
    <row r="68" spans="1:13" x14ac:dyDescent="0.25">
      <c r="A68" s="16" t="s">
        <v>15</v>
      </c>
      <c r="D68" s="17">
        <v>12</v>
      </c>
      <c r="E68" s="17" t="s">
        <v>65</v>
      </c>
      <c r="F68" s="18">
        <v>1.97</v>
      </c>
      <c r="G68" s="17" t="s">
        <v>65</v>
      </c>
      <c r="H68" s="18">
        <v>0.08</v>
      </c>
      <c r="I68" s="17" t="s">
        <v>65</v>
      </c>
      <c r="J68" s="18">
        <v>0.1</v>
      </c>
      <c r="K68" s="18" t="s">
        <v>66</v>
      </c>
      <c r="L68" s="18">
        <f t="shared" si="12"/>
        <v>0.18912000000000001</v>
      </c>
      <c r="M68" s="9" t="s">
        <v>10</v>
      </c>
    </row>
    <row r="69" spans="1:13" x14ac:dyDescent="0.25">
      <c r="A69" s="16" t="s">
        <v>16</v>
      </c>
      <c r="D69" s="17">
        <v>12</v>
      </c>
      <c r="E69" s="17" t="s">
        <v>65</v>
      </c>
      <c r="F69" s="18">
        <v>1.97</v>
      </c>
      <c r="G69" s="17" t="s">
        <v>65</v>
      </c>
      <c r="H69" s="18">
        <v>0.08</v>
      </c>
      <c r="I69" s="17" t="s">
        <v>65</v>
      </c>
      <c r="J69" s="18">
        <v>0.1</v>
      </c>
      <c r="K69" s="8" t="s">
        <v>66</v>
      </c>
      <c r="L69" s="18">
        <f t="shared" si="12"/>
        <v>0.18912000000000001</v>
      </c>
      <c r="M69" s="9" t="s">
        <v>10</v>
      </c>
    </row>
    <row r="70" spans="1:13" x14ac:dyDescent="0.25">
      <c r="A70" s="16" t="s">
        <v>17</v>
      </c>
      <c r="D70" s="17">
        <v>12</v>
      </c>
      <c r="E70" s="17" t="s">
        <v>65</v>
      </c>
      <c r="F70" s="18">
        <v>1.97</v>
      </c>
      <c r="G70" s="17" t="s">
        <v>65</v>
      </c>
      <c r="H70" s="18">
        <v>0.08</v>
      </c>
      <c r="I70" s="17" t="s">
        <v>65</v>
      </c>
      <c r="J70" s="18">
        <v>0.1</v>
      </c>
      <c r="K70" s="8" t="s">
        <v>66</v>
      </c>
      <c r="L70" s="18">
        <f t="shared" si="12"/>
        <v>0.18912000000000001</v>
      </c>
      <c r="M70" s="9" t="s">
        <v>10</v>
      </c>
    </row>
    <row r="71" spans="1:13" x14ac:dyDescent="0.25">
      <c r="A71" s="16" t="s">
        <v>18</v>
      </c>
      <c r="D71" s="17">
        <v>12</v>
      </c>
      <c r="E71" s="17" t="s">
        <v>65</v>
      </c>
      <c r="F71" s="18">
        <v>1.97</v>
      </c>
      <c r="G71" s="17" t="s">
        <v>65</v>
      </c>
      <c r="H71" s="18">
        <v>0.08</v>
      </c>
      <c r="I71" s="17" t="s">
        <v>65</v>
      </c>
      <c r="J71" s="18">
        <v>0.1</v>
      </c>
      <c r="K71" s="18" t="s">
        <v>66</v>
      </c>
      <c r="L71" s="18">
        <f t="shared" si="12"/>
        <v>0.18912000000000001</v>
      </c>
      <c r="M71" s="9" t="s">
        <v>10</v>
      </c>
    </row>
    <row r="72" spans="1:13" x14ac:dyDescent="0.25">
      <c r="A72" s="16" t="s">
        <v>19</v>
      </c>
      <c r="D72" s="17">
        <v>12</v>
      </c>
      <c r="E72" s="17" t="s">
        <v>65</v>
      </c>
      <c r="F72" s="18">
        <v>1.97</v>
      </c>
      <c r="G72" s="17" t="s">
        <v>65</v>
      </c>
      <c r="H72" s="18">
        <v>0.08</v>
      </c>
      <c r="I72" s="17" t="s">
        <v>65</v>
      </c>
      <c r="J72" s="18">
        <v>0.1</v>
      </c>
      <c r="K72" s="8" t="s">
        <v>66</v>
      </c>
      <c r="L72" s="18">
        <f t="shared" si="12"/>
        <v>0.18912000000000001</v>
      </c>
      <c r="M72" s="9" t="s">
        <v>10</v>
      </c>
    </row>
    <row r="73" spans="1:13" x14ac:dyDescent="0.25">
      <c r="A73" s="16" t="s">
        <v>20</v>
      </c>
      <c r="D73" s="17">
        <v>12</v>
      </c>
      <c r="E73" s="17" t="s">
        <v>65</v>
      </c>
      <c r="F73" s="18">
        <v>1.97</v>
      </c>
      <c r="G73" s="17" t="s">
        <v>65</v>
      </c>
      <c r="H73" s="18">
        <v>0.08</v>
      </c>
      <c r="I73" s="17" t="s">
        <v>65</v>
      </c>
      <c r="J73" s="18">
        <v>0.1</v>
      </c>
      <c r="K73" s="17" t="s">
        <v>66</v>
      </c>
      <c r="L73" s="18">
        <f t="shared" si="12"/>
        <v>0.18912000000000001</v>
      </c>
      <c r="M73" s="9" t="s">
        <v>10</v>
      </c>
    </row>
    <row r="74" spans="1:13" x14ac:dyDescent="0.25">
      <c r="A74" s="15"/>
      <c r="B74" s="8"/>
      <c r="D74" s="8"/>
      <c r="E74" s="8"/>
      <c r="F74" s="8"/>
      <c r="G74" s="8"/>
      <c r="H74" s="8"/>
      <c r="I74" s="8"/>
      <c r="J74" s="21" t="s">
        <v>74</v>
      </c>
      <c r="K74" s="8" t="s">
        <v>66</v>
      </c>
      <c r="L74" s="144">
        <f>SUM(L66:L73)</f>
        <v>1.4499199999999999</v>
      </c>
      <c r="M74" s="154" t="s">
        <v>10</v>
      </c>
    </row>
    <row r="75" spans="1:13" x14ac:dyDescent="0.25">
      <c r="A75" s="2"/>
      <c r="B75" s="8"/>
      <c r="D75" s="15" t="s">
        <v>21</v>
      </c>
      <c r="E75" s="8"/>
      <c r="F75" s="8"/>
      <c r="G75" s="8"/>
      <c r="H75" s="8"/>
      <c r="I75" s="8"/>
      <c r="J75" s="8"/>
      <c r="K75" s="8"/>
      <c r="L75" s="144"/>
      <c r="M75" s="154"/>
    </row>
    <row r="76" spans="1:13" x14ac:dyDescent="0.25">
      <c r="A76" s="16" t="s">
        <v>22</v>
      </c>
      <c r="D76" s="17">
        <v>3</v>
      </c>
      <c r="E76" s="17" t="s">
        <v>65</v>
      </c>
      <c r="F76" s="18">
        <v>5.9</v>
      </c>
      <c r="G76" s="17" t="s">
        <v>65</v>
      </c>
      <c r="H76" s="18">
        <v>0.1</v>
      </c>
      <c r="I76" s="17" t="s">
        <v>65</v>
      </c>
      <c r="J76" s="18">
        <v>0.12</v>
      </c>
      <c r="K76" s="8" t="s">
        <v>66</v>
      </c>
      <c r="L76" s="18">
        <f t="shared" ref="L76:L82" si="13">PRODUCT(D76:J76)</f>
        <v>0.21240000000000006</v>
      </c>
      <c r="M76" s="9" t="s">
        <v>10</v>
      </c>
    </row>
    <row r="77" spans="1:13" x14ac:dyDescent="0.25">
      <c r="A77" s="16" t="s">
        <v>23</v>
      </c>
      <c r="D77" s="17">
        <v>1</v>
      </c>
      <c r="E77" s="17" t="s">
        <v>65</v>
      </c>
      <c r="F77" s="18">
        <v>5.75</v>
      </c>
      <c r="G77" s="17" t="s">
        <v>65</v>
      </c>
      <c r="H77" s="18">
        <v>0.1</v>
      </c>
      <c r="I77" s="17" t="s">
        <v>65</v>
      </c>
      <c r="J77" s="18">
        <v>0.12</v>
      </c>
      <c r="K77" s="18" t="s">
        <v>66</v>
      </c>
      <c r="L77" s="18">
        <f t="shared" si="13"/>
        <v>6.9000000000000006E-2</v>
      </c>
      <c r="M77" s="9" t="s">
        <v>10</v>
      </c>
    </row>
    <row r="78" spans="1:13" x14ac:dyDescent="0.25">
      <c r="A78" s="16" t="s">
        <v>24</v>
      </c>
      <c r="D78" s="17">
        <v>3</v>
      </c>
      <c r="E78" s="17" t="s">
        <v>65</v>
      </c>
      <c r="F78" s="18">
        <v>5.9</v>
      </c>
      <c r="G78" s="17" t="s">
        <v>65</v>
      </c>
      <c r="H78" s="18">
        <v>0.1</v>
      </c>
      <c r="I78" s="17" t="s">
        <v>65</v>
      </c>
      <c r="J78" s="18">
        <v>0.12</v>
      </c>
      <c r="K78" s="8" t="s">
        <v>66</v>
      </c>
      <c r="L78" s="18">
        <f t="shared" si="13"/>
        <v>0.21240000000000006</v>
      </c>
      <c r="M78" s="9" t="s">
        <v>10</v>
      </c>
    </row>
    <row r="79" spans="1:13" x14ac:dyDescent="0.25">
      <c r="A79" s="16" t="s">
        <v>25</v>
      </c>
      <c r="D79" s="17">
        <v>3</v>
      </c>
      <c r="E79" s="17" t="s">
        <v>65</v>
      </c>
      <c r="F79" s="18">
        <v>5.75</v>
      </c>
      <c r="G79" s="17" t="s">
        <v>65</v>
      </c>
      <c r="H79" s="18">
        <v>0.1</v>
      </c>
      <c r="I79" s="17" t="s">
        <v>65</v>
      </c>
      <c r="J79" s="18">
        <v>0.12</v>
      </c>
      <c r="K79" s="8" t="s">
        <v>66</v>
      </c>
      <c r="L79" s="18">
        <f t="shared" si="13"/>
        <v>0.20699999999999999</v>
      </c>
      <c r="M79" s="9" t="s">
        <v>10</v>
      </c>
    </row>
    <row r="80" spans="1:13" x14ac:dyDescent="0.25">
      <c r="A80" s="16" t="s">
        <v>26</v>
      </c>
      <c r="D80" s="17">
        <v>3</v>
      </c>
      <c r="E80" s="17" t="s">
        <v>65</v>
      </c>
      <c r="F80" s="18">
        <v>5.9</v>
      </c>
      <c r="G80" s="17" t="s">
        <v>65</v>
      </c>
      <c r="H80" s="18">
        <v>0.1</v>
      </c>
      <c r="I80" s="17" t="s">
        <v>65</v>
      </c>
      <c r="J80" s="18">
        <v>0.12</v>
      </c>
      <c r="K80" s="18" t="s">
        <v>66</v>
      </c>
      <c r="L80" s="18">
        <f t="shared" si="13"/>
        <v>0.21240000000000006</v>
      </c>
      <c r="M80" s="9" t="s">
        <v>10</v>
      </c>
    </row>
    <row r="81" spans="1:13" x14ac:dyDescent="0.25">
      <c r="A81" s="16" t="s">
        <v>27</v>
      </c>
      <c r="D81" s="17">
        <v>3</v>
      </c>
      <c r="E81" s="17" t="s">
        <v>65</v>
      </c>
      <c r="F81" s="18">
        <v>5.75</v>
      </c>
      <c r="G81" s="17" t="s">
        <v>65</v>
      </c>
      <c r="H81" s="18">
        <v>0.1</v>
      </c>
      <c r="I81" s="17" t="s">
        <v>65</v>
      </c>
      <c r="J81" s="18">
        <v>0.12</v>
      </c>
      <c r="K81" s="8" t="s">
        <v>66</v>
      </c>
      <c r="L81" s="18">
        <f t="shared" si="13"/>
        <v>0.20699999999999999</v>
      </c>
      <c r="M81" s="9" t="s">
        <v>10</v>
      </c>
    </row>
    <row r="82" spans="1:13" x14ac:dyDescent="0.25">
      <c r="A82" s="16" t="s">
        <v>28</v>
      </c>
      <c r="D82" s="17">
        <v>3</v>
      </c>
      <c r="E82" s="17" t="s">
        <v>65</v>
      </c>
      <c r="F82" s="18">
        <v>5.9</v>
      </c>
      <c r="G82" s="17" t="s">
        <v>65</v>
      </c>
      <c r="H82" s="18">
        <v>0.1</v>
      </c>
      <c r="I82" s="17" t="s">
        <v>65</v>
      </c>
      <c r="J82" s="18">
        <v>0.12</v>
      </c>
      <c r="K82" s="8" t="s">
        <v>66</v>
      </c>
      <c r="L82" s="18">
        <f t="shared" si="13"/>
        <v>0.21240000000000006</v>
      </c>
      <c r="M82" s="9" t="s">
        <v>10</v>
      </c>
    </row>
    <row r="83" spans="1:13" x14ac:dyDescent="0.25">
      <c r="A83" s="16" t="s">
        <v>29</v>
      </c>
      <c r="D83" s="17">
        <v>3</v>
      </c>
      <c r="E83" s="17" t="s">
        <v>65</v>
      </c>
      <c r="F83" s="18">
        <v>5.75</v>
      </c>
      <c r="G83" s="17" t="s">
        <v>65</v>
      </c>
      <c r="H83" s="18">
        <v>0.1</v>
      </c>
      <c r="I83" s="17" t="s">
        <v>65</v>
      </c>
      <c r="J83" s="18">
        <v>0.12</v>
      </c>
      <c r="K83" s="18" t="s">
        <v>66</v>
      </c>
      <c r="L83" s="18">
        <f>PRODUCT(D83:J83)</f>
        <v>0.20699999999999999</v>
      </c>
      <c r="M83" s="9" t="s">
        <v>10</v>
      </c>
    </row>
    <row r="84" spans="1:13" x14ac:dyDescent="0.25">
      <c r="A84" s="15"/>
      <c r="B84" s="8"/>
      <c r="D84" s="8"/>
      <c r="E84" s="8"/>
      <c r="F84" s="8"/>
      <c r="G84" s="8"/>
      <c r="H84" s="8"/>
      <c r="I84" s="8"/>
      <c r="J84" s="21" t="s">
        <v>74</v>
      </c>
      <c r="K84" s="8" t="s">
        <v>66</v>
      </c>
      <c r="L84" s="144">
        <f>SUM(L76:L83)</f>
        <v>1.5396000000000003</v>
      </c>
      <c r="M84" s="154" t="s">
        <v>10</v>
      </c>
    </row>
    <row r="85" spans="1:13" x14ac:dyDescent="0.25">
      <c r="A85" s="2"/>
      <c r="B85" s="8"/>
      <c r="D85" s="15" t="s">
        <v>30</v>
      </c>
      <c r="E85" s="8"/>
      <c r="F85" s="8"/>
      <c r="G85" s="8"/>
      <c r="H85" s="8"/>
      <c r="I85" s="8"/>
      <c r="J85" s="8"/>
      <c r="K85" s="18"/>
      <c r="L85" s="144"/>
      <c r="M85" s="154"/>
    </row>
    <row r="86" spans="1:13" x14ac:dyDescent="0.25">
      <c r="A86" s="16" t="s">
        <v>31</v>
      </c>
      <c r="D86" s="17">
        <v>13</v>
      </c>
      <c r="E86" s="17" t="s">
        <v>65</v>
      </c>
      <c r="F86" s="18">
        <v>3.6</v>
      </c>
      <c r="G86" s="17" t="s">
        <v>65</v>
      </c>
      <c r="H86" s="18">
        <v>0.06</v>
      </c>
      <c r="I86" s="17" t="s">
        <v>65</v>
      </c>
      <c r="J86" s="18">
        <v>0.08</v>
      </c>
      <c r="K86" s="8" t="s">
        <v>66</v>
      </c>
      <c r="L86" s="18">
        <f t="shared" ref="L86:L93" si="14">PRODUCT(D86:J86)</f>
        <v>0.22464000000000003</v>
      </c>
      <c r="M86" s="9" t="s">
        <v>10</v>
      </c>
    </row>
    <row r="87" spans="1:13" x14ac:dyDescent="0.25">
      <c r="A87" s="16" t="s">
        <v>32</v>
      </c>
      <c r="D87" s="17">
        <v>3</v>
      </c>
      <c r="E87" s="17" t="s">
        <v>65</v>
      </c>
      <c r="F87" s="18">
        <v>3.6</v>
      </c>
      <c r="G87" s="17" t="s">
        <v>65</v>
      </c>
      <c r="H87" s="18">
        <v>0.06</v>
      </c>
      <c r="I87" s="17" t="s">
        <v>65</v>
      </c>
      <c r="J87" s="18">
        <v>0.08</v>
      </c>
      <c r="K87" s="8" t="s">
        <v>66</v>
      </c>
      <c r="L87" s="18">
        <f t="shared" si="14"/>
        <v>5.1840000000000004E-2</v>
      </c>
      <c r="M87" s="9" t="s">
        <v>10</v>
      </c>
    </row>
    <row r="88" spans="1:13" x14ac:dyDescent="0.25">
      <c r="A88" s="16" t="s">
        <v>33</v>
      </c>
      <c r="D88" s="17">
        <v>13</v>
      </c>
      <c r="E88" s="17" t="s">
        <v>65</v>
      </c>
      <c r="F88" s="18">
        <v>3.6</v>
      </c>
      <c r="G88" s="17" t="s">
        <v>65</v>
      </c>
      <c r="H88" s="18">
        <v>0.06</v>
      </c>
      <c r="I88" s="17" t="s">
        <v>65</v>
      </c>
      <c r="J88" s="18">
        <v>0.08</v>
      </c>
      <c r="K88" s="18" t="s">
        <v>66</v>
      </c>
      <c r="L88" s="18">
        <f t="shared" si="14"/>
        <v>0.22464000000000003</v>
      </c>
      <c r="M88" s="9" t="s">
        <v>10</v>
      </c>
    </row>
    <row r="89" spans="1:13" x14ac:dyDescent="0.25">
      <c r="A89" s="16" t="s">
        <v>34</v>
      </c>
      <c r="D89" s="17">
        <v>14</v>
      </c>
      <c r="E89" s="17" t="s">
        <v>65</v>
      </c>
      <c r="F89" s="18">
        <v>3.6</v>
      </c>
      <c r="G89" s="17" t="s">
        <v>65</v>
      </c>
      <c r="H89" s="18">
        <v>0.06</v>
      </c>
      <c r="I89" s="17" t="s">
        <v>65</v>
      </c>
      <c r="J89" s="18">
        <v>0.08</v>
      </c>
      <c r="K89" s="8" t="s">
        <v>66</v>
      </c>
      <c r="L89" s="18">
        <f t="shared" si="14"/>
        <v>0.24192</v>
      </c>
      <c r="M89" s="9" t="s">
        <v>10</v>
      </c>
    </row>
    <row r="90" spans="1:13" x14ac:dyDescent="0.25">
      <c r="A90" s="16" t="s">
        <v>35</v>
      </c>
      <c r="D90" s="17">
        <v>14</v>
      </c>
      <c r="E90" s="17" t="s">
        <v>65</v>
      </c>
      <c r="F90" s="18">
        <v>3.5</v>
      </c>
      <c r="G90" s="17" t="s">
        <v>65</v>
      </c>
      <c r="H90" s="18">
        <v>0.06</v>
      </c>
      <c r="I90" s="17" t="s">
        <v>65</v>
      </c>
      <c r="J90" s="18">
        <v>0.08</v>
      </c>
      <c r="K90" s="8" t="s">
        <v>66</v>
      </c>
      <c r="L90" s="18">
        <f t="shared" si="14"/>
        <v>0.23519999999999999</v>
      </c>
      <c r="M90" s="9" t="s">
        <v>10</v>
      </c>
    </row>
    <row r="91" spans="1:13" x14ac:dyDescent="0.25">
      <c r="A91" s="16" t="s">
        <v>36</v>
      </c>
      <c r="D91" s="17">
        <v>14</v>
      </c>
      <c r="E91" s="17" t="s">
        <v>65</v>
      </c>
      <c r="F91" s="18">
        <v>3.5</v>
      </c>
      <c r="G91" s="17" t="s">
        <v>65</v>
      </c>
      <c r="H91" s="18">
        <v>0.06</v>
      </c>
      <c r="I91" s="17" t="s">
        <v>65</v>
      </c>
      <c r="J91" s="18">
        <v>0.08</v>
      </c>
      <c r="K91" s="18" t="s">
        <v>66</v>
      </c>
      <c r="L91" s="18">
        <f t="shared" si="14"/>
        <v>0.23519999999999999</v>
      </c>
      <c r="M91" s="9" t="s">
        <v>10</v>
      </c>
    </row>
    <row r="92" spans="1:13" x14ac:dyDescent="0.25">
      <c r="A92" s="16" t="s">
        <v>37</v>
      </c>
      <c r="D92" s="17">
        <v>13</v>
      </c>
      <c r="E92" s="17" t="s">
        <v>65</v>
      </c>
      <c r="F92" s="18">
        <v>3.8</v>
      </c>
      <c r="G92" s="17" t="s">
        <v>65</v>
      </c>
      <c r="H92" s="18">
        <v>0.06</v>
      </c>
      <c r="I92" s="17" t="s">
        <v>65</v>
      </c>
      <c r="J92" s="18">
        <v>0.08</v>
      </c>
      <c r="K92" s="8" t="s">
        <v>66</v>
      </c>
      <c r="L92" s="18">
        <f t="shared" si="14"/>
        <v>0.23712</v>
      </c>
      <c r="M92" s="9" t="s">
        <v>10</v>
      </c>
    </row>
    <row r="93" spans="1:13" x14ac:dyDescent="0.25">
      <c r="A93" s="16" t="s">
        <v>38</v>
      </c>
      <c r="D93" s="17">
        <v>7</v>
      </c>
      <c r="E93" s="17" t="s">
        <v>65</v>
      </c>
      <c r="F93" s="18">
        <v>3.8</v>
      </c>
      <c r="G93" s="17" t="s">
        <v>65</v>
      </c>
      <c r="H93" s="18">
        <v>0.06</v>
      </c>
      <c r="I93" s="17" t="s">
        <v>65</v>
      </c>
      <c r="J93" s="18">
        <v>0.08</v>
      </c>
      <c r="K93" s="17" t="s">
        <v>66</v>
      </c>
      <c r="L93" s="18">
        <f t="shared" si="14"/>
        <v>0.12767999999999999</v>
      </c>
      <c r="M93" s="9" t="s">
        <v>10</v>
      </c>
    </row>
    <row r="94" spans="1:13" x14ac:dyDescent="0.25">
      <c r="A94" s="16" t="s">
        <v>38</v>
      </c>
      <c r="D94" s="17">
        <v>6</v>
      </c>
      <c r="E94" s="17" t="s">
        <v>65</v>
      </c>
      <c r="F94" s="18">
        <v>3.8</v>
      </c>
      <c r="G94" s="17" t="s">
        <v>65</v>
      </c>
      <c r="H94" s="18">
        <v>0.06</v>
      </c>
      <c r="I94" s="17" t="s">
        <v>65</v>
      </c>
      <c r="J94" s="18">
        <v>0.08</v>
      </c>
      <c r="K94" s="17" t="s">
        <v>66</v>
      </c>
      <c r="L94" s="18">
        <f t="shared" ref="L94" si="15">PRODUCT(D94:J94)</f>
        <v>0.10944</v>
      </c>
      <c r="M94" s="9" t="s">
        <v>10</v>
      </c>
    </row>
    <row r="95" spans="1:13" x14ac:dyDescent="0.25">
      <c r="A95" s="15"/>
      <c r="B95" s="8"/>
      <c r="D95" s="8"/>
      <c r="E95" s="8"/>
      <c r="F95" s="8"/>
      <c r="G95" s="8"/>
      <c r="H95" s="8"/>
      <c r="I95" s="8"/>
      <c r="J95" s="21" t="s">
        <v>74</v>
      </c>
      <c r="K95" s="8" t="s">
        <v>66</v>
      </c>
      <c r="L95" s="144">
        <f>SUM(L86:L94)</f>
        <v>1.6876800000000001</v>
      </c>
      <c r="M95" s="154" t="s">
        <v>10</v>
      </c>
    </row>
    <row r="96" spans="1:13" x14ac:dyDescent="0.25">
      <c r="A96" s="2"/>
      <c r="B96" s="8"/>
      <c r="D96" s="15" t="s">
        <v>69</v>
      </c>
      <c r="E96" s="8"/>
      <c r="F96" s="8"/>
      <c r="G96" s="8"/>
      <c r="H96" s="8"/>
      <c r="I96" s="8"/>
      <c r="J96" s="8"/>
      <c r="K96" s="18"/>
      <c r="L96" s="144"/>
      <c r="M96" s="154"/>
    </row>
    <row r="97" spans="1:14" x14ac:dyDescent="0.25">
      <c r="A97" s="16" t="s">
        <v>39</v>
      </c>
      <c r="D97" s="17">
        <v>12</v>
      </c>
      <c r="E97" s="17" t="s">
        <v>65</v>
      </c>
      <c r="F97" s="18">
        <v>0.1</v>
      </c>
      <c r="G97" s="17" t="s">
        <v>65</v>
      </c>
      <c r="H97" s="18">
        <v>0.1</v>
      </c>
      <c r="I97" s="17" t="s">
        <v>65</v>
      </c>
      <c r="J97" s="18">
        <v>0.5</v>
      </c>
      <c r="K97" s="8" t="s">
        <v>66</v>
      </c>
      <c r="L97" s="18">
        <f t="shared" ref="L97:L104" si="16">PRODUCT(D97:J97)</f>
        <v>6.0000000000000012E-2</v>
      </c>
      <c r="M97" s="9" t="s">
        <v>10</v>
      </c>
    </row>
    <row r="98" spans="1:14" x14ac:dyDescent="0.25">
      <c r="A98" s="16" t="s">
        <v>40</v>
      </c>
      <c r="D98" s="17">
        <v>8</v>
      </c>
      <c r="E98" s="17" t="s">
        <v>65</v>
      </c>
      <c r="F98" s="18">
        <v>0.1</v>
      </c>
      <c r="G98" s="17" t="s">
        <v>65</v>
      </c>
      <c r="H98" s="18">
        <v>0.1</v>
      </c>
      <c r="I98" s="17" t="s">
        <v>65</v>
      </c>
      <c r="J98" s="18">
        <v>0.5</v>
      </c>
      <c r="K98" s="8" t="s">
        <v>66</v>
      </c>
      <c r="L98" s="18">
        <f t="shared" si="16"/>
        <v>4.0000000000000008E-2</v>
      </c>
      <c r="M98" s="9" t="s">
        <v>10</v>
      </c>
    </row>
    <row r="99" spans="1:14" x14ac:dyDescent="0.25">
      <c r="A99" s="16" t="s">
        <v>41</v>
      </c>
      <c r="D99" s="17">
        <v>12</v>
      </c>
      <c r="E99" s="17" t="s">
        <v>65</v>
      </c>
      <c r="F99" s="18">
        <v>0.1</v>
      </c>
      <c r="G99" s="17" t="s">
        <v>65</v>
      </c>
      <c r="H99" s="18">
        <v>0.1</v>
      </c>
      <c r="I99" s="17" t="s">
        <v>65</v>
      </c>
      <c r="J99" s="18">
        <v>0.5</v>
      </c>
      <c r="K99" s="18" t="s">
        <v>66</v>
      </c>
      <c r="L99" s="18">
        <f t="shared" si="16"/>
        <v>6.0000000000000012E-2</v>
      </c>
      <c r="M99" s="9" t="s">
        <v>10</v>
      </c>
    </row>
    <row r="100" spans="1:14" x14ac:dyDescent="0.25">
      <c r="A100" s="16" t="s">
        <v>42</v>
      </c>
      <c r="D100" s="17">
        <v>12</v>
      </c>
      <c r="E100" s="17" t="s">
        <v>65</v>
      </c>
      <c r="F100" s="18">
        <v>0.1</v>
      </c>
      <c r="G100" s="17" t="s">
        <v>65</v>
      </c>
      <c r="H100" s="18">
        <v>0.1</v>
      </c>
      <c r="I100" s="17" t="s">
        <v>65</v>
      </c>
      <c r="J100" s="18">
        <v>0.5</v>
      </c>
      <c r="K100" s="8" t="s">
        <v>66</v>
      </c>
      <c r="L100" s="18">
        <f t="shared" si="16"/>
        <v>6.0000000000000012E-2</v>
      </c>
      <c r="M100" s="9" t="s">
        <v>10</v>
      </c>
    </row>
    <row r="101" spans="1:14" x14ac:dyDescent="0.25">
      <c r="A101" s="16" t="s">
        <v>43</v>
      </c>
      <c r="D101" s="17">
        <v>12</v>
      </c>
      <c r="E101" s="17" t="s">
        <v>65</v>
      </c>
      <c r="F101" s="18">
        <v>0.1</v>
      </c>
      <c r="G101" s="17" t="s">
        <v>65</v>
      </c>
      <c r="H101" s="18">
        <v>0.1</v>
      </c>
      <c r="I101" s="17" t="s">
        <v>65</v>
      </c>
      <c r="J101" s="18">
        <v>0.5</v>
      </c>
      <c r="K101" s="8" t="s">
        <v>66</v>
      </c>
      <c r="L101" s="18">
        <f t="shared" si="16"/>
        <v>6.0000000000000012E-2</v>
      </c>
      <c r="M101" s="9" t="s">
        <v>10</v>
      </c>
    </row>
    <row r="102" spans="1:14" x14ac:dyDescent="0.25">
      <c r="A102" s="16" t="s">
        <v>44</v>
      </c>
      <c r="D102" s="17">
        <v>12</v>
      </c>
      <c r="E102" s="17" t="s">
        <v>65</v>
      </c>
      <c r="F102" s="18">
        <v>0.1</v>
      </c>
      <c r="G102" s="17" t="s">
        <v>65</v>
      </c>
      <c r="H102" s="18">
        <v>0.1</v>
      </c>
      <c r="I102" s="17" t="s">
        <v>65</v>
      </c>
      <c r="J102" s="18">
        <v>0.5</v>
      </c>
      <c r="K102" s="18" t="s">
        <v>66</v>
      </c>
      <c r="L102" s="18">
        <f t="shared" si="16"/>
        <v>6.0000000000000012E-2</v>
      </c>
      <c r="M102" s="9" t="s">
        <v>10</v>
      </c>
    </row>
    <row r="103" spans="1:14" x14ac:dyDescent="0.25">
      <c r="A103" s="16" t="s">
        <v>45</v>
      </c>
      <c r="D103" s="17">
        <v>12</v>
      </c>
      <c r="E103" s="17" t="s">
        <v>65</v>
      </c>
      <c r="F103" s="18">
        <v>0.1</v>
      </c>
      <c r="G103" s="17" t="s">
        <v>65</v>
      </c>
      <c r="H103" s="18">
        <v>0.1</v>
      </c>
      <c r="I103" s="17" t="s">
        <v>65</v>
      </c>
      <c r="J103" s="18">
        <v>0.5</v>
      </c>
      <c r="K103" s="8" t="s">
        <v>66</v>
      </c>
      <c r="L103" s="18">
        <f t="shared" si="16"/>
        <v>6.0000000000000012E-2</v>
      </c>
      <c r="M103" s="9" t="s">
        <v>10</v>
      </c>
    </row>
    <row r="104" spans="1:14" x14ac:dyDescent="0.25">
      <c r="A104" s="16" t="s">
        <v>46</v>
      </c>
      <c r="D104" s="17">
        <v>12</v>
      </c>
      <c r="E104" s="17" t="s">
        <v>65</v>
      </c>
      <c r="F104" s="18">
        <v>0.1</v>
      </c>
      <c r="G104" s="17" t="s">
        <v>65</v>
      </c>
      <c r="H104" s="18">
        <v>0.1</v>
      </c>
      <c r="I104" s="17" t="s">
        <v>65</v>
      </c>
      <c r="J104" s="18">
        <v>0.5</v>
      </c>
      <c r="K104" s="17" t="s">
        <v>66</v>
      </c>
      <c r="L104" s="18">
        <f t="shared" si="16"/>
        <v>6.0000000000000012E-2</v>
      </c>
      <c r="M104" s="9" t="s">
        <v>10</v>
      </c>
    </row>
    <row r="105" spans="1:14" x14ac:dyDescent="0.25">
      <c r="A105" s="15"/>
      <c r="B105" s="8"/>
      <c r="D105" s="8"/>
      <c r="E105" s="8"/>
      <c r="F105" s="8"/>
      <c r="G105" s="8"/>
      <c r="H105" s="8"/>
      <c r="I105" s="8"/>
      <c r="J105" s="21" t="s">
        <v>74</v>
      </c>
      <c r="K105" s="8" t="s">
        <v>66</v>
      </c>
      <c r="L105" s="144">
        <f>SUM(L97:L104)</f>
        <v>0.46</v>
      </c>
      <c r="M105" s="154" t="s">
        <v>10</v>
      </c>
    </row>
    <row r="106" spans="1:14" x14ac:dyDescent="0.25">
      <c r="A106" s="15"/>
      <c r="B106" s="8"/>
      <c r="D106" s="8"/>
      <c r="E106" s="8"/>
      <c r="F106" s="8"/>
      <c r="G106" s="8"/>
      <c r="H106" s="8"/>
      <c r="I106" s="8"/>
      <c r="J106" s="147" t="s">
        <v>64</v>
      </c>
      <c r="K106" s="147" t="s">
        <v>66</v>
      </c>
      <c r="L106" s="148">
        <f>L74+L84+L95+L105</f>
        <v>5.1372</v>
      </c>
      <c r="M106" s="155" t="s">
        <v>10</v>
      </c>
    </row>
    <row r="107" spans="1:14" x14ac:dyDescent="0.3">
      <c r="D107" s="4"/>
      <c r="E107" s="4"/>
      <c r="F107" s="4"/>
      <c r="G107" s="4"/>
      <c r="H107" s="4"/>
      <c r="I107" s="4"/>
      <c r="J107" s="4"/>
      <c r="K107" s="4"/>
      <c r="L107" s="4"/>
    </row>
    <row r="108" spans="1:14" ht="57" customHeight="1" x14ac:dyDescent="0.3">
      <c r="B108" s="6">
        <f>+B62+1</f>
        <v>8</v>
      </c>
      <c r="C108" s="6">
        <v>112</v>
      </c>
      <c r="D108" s="205" t="str">
        <f>VLOOKUP(C108,RA!$A$2:D227,2,0)</f>
        <v>Providing and laying of Ceramic tiles 30x30cm  etc complete as Directed</v>
      </c>
      <c r="E108" s="205"/>
      <c r="F108" s="205"/>
      <c r="G108" s="205"/>
      <c r="H108" s="205"/>
      <c r="I108" s="205"/>
      <c r="J108" s="205"/>
      <c r="K108" s="205"/>
      <c r="L108" s="205"/>
      <c r="M108" s="205"/>
      <c r="N108" s="153">
        <f>+L120</f>
        <v>168.92499999999998</v>
      </c>
    </row>
    <row r="109" spans="1:14" ht="18" customHeight="1" x14ac:dyDescent="0.25">
      <c r="A109" s="2"/>
      <c r="B109" s="8"/>
      <c r="D109" s="15" t="s">
        <v>321</v>
      </c>
      <c r="E109" s="8"/>
      <c r="F109" s="8"/>
      <c r="G109" s="8"/>
      <c r="H109" s="8"/>
      <c r="I109" s="8"/>
      <c r="J109" s="8"/>
      <c r="K109" s="8"/>
      <c r="L109" s="8"/>
      <c r="M109" s="154"/>
    </row>
    <row r="110" spans="1:14" x14ac:dyDescent="0.25">
      <c r="A110" s="15"/>
      <c r="B110" s="8"/>
      <c r="D110" s="8" t="s">
        <v>4</v>
      </c>
      <c r="E110" s="8" t="s">
        <v>65</v>
      </c>
      <c r="F110" s="8" t="s">
        <v>5</v>
      </c>
      <c r="G110" s="8" t="s">
        <v>65</v>
      </c>
      <c r="H110" s="8" t="s">
        <v>6</v>
      </c>
      <c r="I110" s="8"/>
      <c r="J110" s="8"/>
      <c r="K110" s="8" t="s">
        <v>66</v>
      </c>
      <c r="L110" s="8" t="s">
        <v>8</v>
      </c>
      <c r="M110" s="154" t="s">
        <v>9</v>
      </c>
    </row>
    <row r="111" spans="1:14" x14ac:dyDescent="0.3">
      <c r="A111" s="16" t="s">
        <v>47</v>
      </c>
      <c r="D111" s="6">
        <v>1</v>
      </c>
      <c r="E111" s="17" t="s">
        <v>65</v>
      </c>
      <c r="F111" s="18">
        <v>3.6</v>
      </c>
      <c r="G111" s="17" t="s">
        <v>65</v>
      </c>
      <c r="H111" s="18">
        <v>5.9</v>
      </c>
      <c r="I111" s="17"/>
      <c r="J111" s="4"/>
      <c r="K111" s="8" t="s">
        <v>66</v>
      </c>
      <c r="L111" s="18">
        <f>PRODUCT(D111:H111)</f>
        <v>21.240000000000002</v>
      </c>
      <c r="M111" s="9" t="s">
        <v>48</v>
      </c>
    </row>
    <row r="112" spans="1:14" x14ac:dyDescent="0.3">
      <c r="A112" s="16" t="s">
        <v>49</v>
      </c>
      <c r="D112" s="6">
        <v>1</v>
      </c>
      <c r="E112" s="17" t="s">
        <v>65</v>
      </c>
      <c r="F112" s="18">
        <v>3.6</v>
      </c>
      <c r="G112" s="17" t="s">
        <v>65</v>
      </c>
      <c r="H112" s="18">
        <v>5.75</v>
      </c>
      <c r="I112" s="17"/>
      <c r="J112" s="4"/>
      <c r="K112" s="8" t="s">
        <v>66</v>
      </c>
      <c r="L112" s="18">
        <f t="shared" ref="L112:L118" si="17">PRODUCT(D112:H112)</f>
        <v>20.7</v>
      </c>
      <c r="M112" s="9" t="s">
        <v>48</v>
      </c>
    </row>
    <row r="113" spans="1:14" x14ac:dyDescent="0.3">
      <c r="A113" s="16" t="s">
        <v>50</v>
      </c>
      <c r="D113" s="6">
        <v>1</v>
      </c>
      <c r="E113" s="17" t="s">
        <v>65</v>
      </c>
      <c r="F113" s="18">
        <v>3.6</v>
      </c>
      <c r="G113" s="17" t="s">
        <v>65</v>
      </c>
      <c r="H113" s="18">
        <v>5.9</v>
      </c>
      <c r="I113" s="17"/>
      <c r="J113" s="4"/>
      <c r="K113" s="8" t="s">
        <v>66</v>
      </c>
      <c r="L113" s="18">
        <f t="shared" si="17"/>
        <v>21.240000000000002</v>
      </c>
      <c r="M113" s="9" t="s">
        <v>48</v>
      </c>
    </row>
    <row r="114" spans="1:14" x14ac:dyDescent="0.3">
      <c r="A114" s="16" t="s">
        <v>51</v>
      </c>
      <c r="D114" s="6">
        <v>1</v>
      </c>
      <c r="E114" s="17" t="s">
        <v>65</v>
      </c>
      <c r="F114" s="18">
        <v>3.6</v>
      </c>
      <c r="G114" s="17" t="s">
        <v>65</v>
      </c>
      <c r="H114" s="18">
        <v>5.75</v>
      </c>
      <c r="I114" s="17"/>
      <c r="J114" s="4"/>
      <c r="K114" s="8" t="s">
        <v>66</v>
      </c>
      <c r="L114" s="18">
        <f t="shared" si="17"/>
        <v>20.7</v>
      </c>
      <c r="M114" s="9" t="s">
        <v>48</v>
      </c>
    </row>
    <row r="115" spans="1:14" x14ac:dyDescent="0.3">
      <c r="A115" s="16" t="s">
        <v>52</v>
      </c>
      <c r="D115" s="6">
        <v>1</v>
      </c>
      <c r="E115" s="17" t="s">
        <v>65</v>
      </c>
      <c r="F115" s="18">
        <v>3.5</v>
      </c>
      <c r="G115" s="17" t="s">
        <v>65</v>
      </c>
      <c r="H115" s="18">
        <v>5.9</v>
      </c>
      <c r="I115" s="17"/>
      <c r="J115" s="4"/>
      <c r="K115" s="8" t="s">
        <v>66</v>
      </c>
      <c r="L115" s="18">
        <f t="shared" si="17"/>
        <v>20.650000000000002</v>
      </c>
      <c r="M115" s="9" t="s">
        <v>48</v>
      </c>
    </row>
    <row r="116" spans="1:14" x14ac:dyDescent="0.3">
      <c r="A116" s="16" t="s">
        <v>53</v>
      </c>
      <c r="D116" s="6">
        <v>1</v>
      </c>
      <c r="E116" s="17" t="s">
        <v>65</v>
      </c>
      <c r="F116" s="18">
        <v>3.5</v>
      </c>
      <c r="G116" s="17" t="s">
        <v>65</v>
      </c>
      <c r="H116" s="18">
        <v>5.75</v>
      </c>
      <c r="I116" s="17"/>
      <c r="J116" s="4"/>
      <c r="K116" s="8" t="s">
        <v>66</v>
      </c>
      <c r="L116" s="18">
        <f t="shared" si="17"/>
        <v>20.125</v>
      </c>
      <c r="M116" s="9" t="s">
        <v>48</v>
      </c>
    </row>
    <row r="117" spans="1:14" x14ac:dyDescent="0.3">
      <c r="A117" s="16" t="s">
        <v>54</v>
      </c>
      <c r="D117" s="6">
        <v>1</v>
      </c>
      <c r="E117" s="17" t="s">
        <v>65</v>
      </c>
      <c r="F117" s="18">
        <v>3.8</v>
      </c>
      <c r="G117" s="17" t="s">
        <v>65</v>
      </c>
      <c r="H117" s="18">
        <v>5.9</v>
      </c>
      <c r="I117" s="17"/>
      <c r="J117" s="4"/>
      <c r="K117" s="8" t="s">
        <v>66</v>
      </c>
      <c r="L117" s="18">
        <f t="shared" si="17"/>
        <v>22.42</v>
      </c>
      <c r="M117" s="9" t="s">
        <v>48</v>
      </c>
    </row>
    <row r="118" spans="1:14" x14ac:dyDescent="0.3">
      <c r="A118" s="16" t="s">
        <v>55</v>
      </c>
      <c r="D118" s="6">
        <v>1</v>
      </c>
      <c r="E118" s="17" t="s">
        <v>65</v>
      </c>
      <c r="F118" s="18">
        <v>3.8</v>
      </c>
      <c r="G118" s="17" t="s">
        <v>65</v>
      </c>
      <c r="H118" s="18">
        <v>5.75</v>
      </c>
      <c r="I118" s="17"/>
      <c r="J118" s="4"/>
      <c r="K118" s="8" t="s">
        <v>66</v>
      </c>
      <c r="L118" s="18">
        <f t="shared" si="17"/>
        <v>21.849999999999998</v>
      </c>
      <c r="M118" s="9" t="s">
        <v>48</v>
      </c>
    </row>
    <row r="119" spans="1:14" x14ac:dyDescent="0.3">
      <c r="A119" s="16"/>
      <c r="D119" s="6"/>
      <c r="E119" s="17"/>
      <c r="F119" s="18"/>
      <c r="G119" s="17"/>
      <c r="H119" s="18"/>
      <c r="I119" s="17"/>
      <c r="J119" s="4"/>
      <c r="K119" s="8"/>
      <c r="L119" s="18"/>
      <c r="M119" s="9"/>
    </row>
    <row r="120" spans="1:14" x14ac:dyDescent="0.25">
      <c r="A120" s="15"/>
      <c r="B120" s="8"/>
      <c r="D120" s="8"/>
      <c r="E120" s="8"/>
      <c r="F120" s="8"/>
      <c r="G120" s="8"/>
      <c r="H120" s="8"/>
      <c r="I120" s="8"/>
      <c r="J120" s="147" t="s">
        <v>64</v>
      </c>
      <c r="K120" s="147" t="s">
        <v>66</v>
      </c>
      <c r="L120" s="148">
        <f>SUM(L111:L118)</f>
        <v>168.92499999999998</v>
      </c>
      <c r="M120" s="155" t="s">
        <v>48</v>
      </c>
    </row>
    <row r="121" spans="1:14" x14ac:dyDescent="0.3">
      <c r="D121" s="4"/>
      <c r="E121" s="4"/>
      <c r="F121" s="4"/>
      <c r="G121" s="4"/>
      <c r="H121" s="4"/>
      <c r="I121" s="4"/>
      <c r="J121" s="4"/>
      <c r="K121" s="4"/>
      <c r="L121" s="4"/>
    </row>
    <row r="122" spans="1:14" ht="64.2" customHeight="1" x14ac:dyDescent="0.3">
      <c r="B122" s="6">
        <f>+B108+1</f>
        <v>9</v>
      </c>
      <c r="C122" s="6">
        <v>98</v>
      </c>
      <c r="D122" s="205" t="str">
        <f>VLOOKUP(C122,RA!$A$2:D240,2,0)</f>
        <v>Providing and fixing non teak wood plank ceiling 12 mm. Thick with planked on underside longuled and grooved including scaffolding, fixtures with oiling and two coats of varnishing etc. conplete. (Excluding battens and joists) as directed.</v>
      </c>
      <c r="E122" s="205"/>
      <c r="F122" s="205"/>
      <c r="G122" s="205"/>
      <c r="H122" s="205"/>
      <c r="I122" s="205"/>
      <c r="J122" s="205"/>
      <c r="K122" s="205"/>
      <c r="L122" s="205"/>
      <c r="M122" s="205"/>
      <c r="N122" s="153">
        <f>+L129</f>
        <v>184.52500000000003</v>
      </c>
    </row>
    <row r="123" spans="1:14" ht="18" customHeight="1" x14ac:dyDescent="0.25">
      <c r="A123" s="2"/>
      <c r="B123" s="8"/>
      <c r="D123" s="15" t="s">
        <v>76</v>
      </c>
      <c r="E123" s="8"/>
      <c r="F123" s="8"/>
      <c r="G123" s="8"/>
      <c r="H123" s="8"/>
      <c r="I123" s="8"/>
      <c r="J123" s="8"/>
      <c r="K123" s="8"/>
      <c r="L123" s="8"/>
      <c r="M123" s="154"/>
    </row>
    <row r="124" spans="1:14" x14ac:dyDescent="0.25">
      <c r="A124" s="15"/>
      <c r="B124" s="8"/>
      <c r="D124" s="8" t="s">
        <v>4</v>
      </c>
      <c r="E124" s="8" t="s">
        <v>65</v>
      </c>
      <c r="F124" s="8" t="s">
        <v>5</v>
      </c>
      <c r="G124" s="8" t="s">
        <v>65</v>
      </c>
      <c r="H124" s="8" t="s">
        <v>6</v>
      </c>
      <c r="I124" s="8"/>
      <c r="J124" s="8"/>
      <c r="K124" s="8" t="s">
        <v>66</v>
      </c>
      <c r="L124" s="8" t="s">
        <v>8</v>
      </c>
      <c r="M124" s="154" t="s">
        <v>9</v>
      </c>
    </row>
    <row r="125" spans="1:14" x14ac:dyDescent="0.3">
      <c r="A125" s="16"/>
      <c r="D125" s="6">
        <v>1</v>
      </c>
      <c r="E125" s="6" t="s">
        <v>65</v>
      </c>
      <c r="F125" s="18">
        <v>15.25</v>
      </c>
      <c r="G125" s="18" t="s">
        <v>65</v>
      </c>
      <c r="H125" s="18">
        <v>12.100000000000001</v>
      </c>
      <c r="I125" s="18"/>
      <c r="J125" s="4"/>
      <c r="K125" s="8" t="s">
        <v>66</v>
      </c>
      <c r="L125" s="18">
        <f>D125*F125*H125</f>
        <v>184.52500000000003</v>
      </c>
      <c r="M125" s="9" t="s">
        <v>48</v>
      </c>
    </row>
    <row r="126" spans="1:14" x14ac:dyDescent="0.3">
      <c r="A126" s="16"/>
      <c r="D126" s="9" t="s">
        <v>344</v>
      </c>
      <c r="E126" s="6"/>
      <c r="F126" s="18"/>
      <c r="G126" s="18"/>
      <c r="H126" s="18"/>
      <c r="I126" s="18"/>
      <c r="J126" s="4"/>
      <c r="K126" s="8"/>
      <c r="L126" s="18"/>
      <c r="M126" s="9"/>
    </row>
    <row r="127" spans="1:14" x14ac:dyDescent="0.3">
      <c r="A127" s="16" t="s">
        <v>1</v>
      </c>
      <c r="D127" s="6">
        <v>1</v>
      </c>
      <c r="E127" s="6" t="s">
        <v>65</v>
      </c>
      <c r="F127" s="18">
        <v>3.6</v>
      </c>
      <c r="G127" s="18" t="s">
        <v>65</v>
      </c>
      <c r="H127" s="18">
        <v>5.75</v>
      </c>
      <c r="I127" s="18" t="s">
        <v>65</v>
      </c>
      <c r="J127" s="159">
        <v>1</v>
      </c>
      <c r="K127" s="8" t="s">
        <v>66</v>
      </c>
      <c r="L127" s="18">
        <f>-PRODUCT(D127:J127)</f>
        <v>-20.7</v>
      </c>
      <c r="M127" s="9" t="s">
        <v>48</v>
      </c>
    </row>
    <row r="128" spans="1:14" x14ac:dyDescent="0.3">
      <c r="A128" s="16"/>
      <c r="D128" s="6"/>
      <c r="E128" s="6"/>
      <c r="F128" s="18"/>
      <c r="G128" s="18"/>
      <c r="H128" s="18"/>
      <c r="I128" s="18"/>
      <c r="J128" s="4"/>
      <c r="K128" s="8"/>
      <c r="L128" s="18"/>
      <c r="M128" s="9"/>
    </row>
    <row r="129" spans="1:14" x14ac:dyDescent="0.25">
      <c r="A129" s="15"/>
      <c r="B129" s="8"/>
      <c r="D129" s="8"/>
      <c r="E129" s="8"/>
      <c r="F129" s="8"/>
      <c r="G129" s="8"/>
      <c r="H129" s="8"/>
      <c r="I129" s="8"/>
      <c r="J129" s="147" t="s">
        <v>64</v>
      </c>
      <c r="K129" s="147" t="s">
        <v>66</v>
      </c>
      <c r="L129" s="148">
        <f>SUM(L125:L125)</f>
        <v>184.52500000000003</v>
      </c>
      <c r="M129" s="155" t="s">
        <v>48</v>
      </c>
    </row>
    <row r="130" spans="1:14" x14ac:dyDescent="0.3">
      <c r="D130" s="4"/>
      <c r="E130" s="4"/>
      <c r="F130" s="4"/>
      <c r="G130" s="4"/>
      <c r="H130" s="4"/>
      <c r="I130" s="4"/>
      <c r="J130" s="4"/>
      <c r="K130" s="4"/>
      <c r="L130" s="4"/>
    </row>
    <row r="131" spans="1:14" ht="113.4" customHeight="1" x14ac:dyDescent="0.3">
      <c r="B131" s="6">
        <f>+B122+1</f>
        <v>10</v>
      </c>
      <c r="C131" s="6">
        <v>30</v>
      </c>
      <c r="D131" s="205" t="str">
        <f>VLOOKUP(C131,RA!$A$2:D246,2,0)</f>
        <v>Providing sand faced plaster externally in cement mortar using approved screened sand, in all positions including base coat of 15 mm thick in cement mortar 1:4 using waterproofing compound at 1 kg per cement bag curing the same for not less than 2 days and keeping the surface of the base coat rough to receive the sand faced treatment 6 to 8 mm thick in cement mortar 1:4 finishing the surface by taking out grains and curing for fourteen days scaffolding etc.complete</v>
      </c>
      <c r="E131" s="205"/>
      <c r="F131" s="205"/>
      <c r="G131" s="205"/>
      <c r="H131" s="205"/>
      <c r="I131" s="205"/>
      <c r="J131" s="205"/>
      <c r="K131" s="205"/>
      <c r="L131" s="205"/>
      <c r="M131" s="205"/>
      <c r="N131" s="153">
        <f>+L137</f>
        <v>107.75900000000001</v>
      </c>
    </row>
    <row r="132" spans="1:14" x14ac:dyDescent="0.25">
      <c r="A132" s="2"/>
      <c r="B132" s="8"/>
      <c r="D132" s="15" t="s">
        <v>77</v>
      </c>
      <c r="E132" s="8"/>
      <c r="F132" s="8"/>
      <c r="G132" s="8"/>
      <c r="H132" s="8"/>
      <c r="I132" s="8"/>
      <c r="J132" s="8"/>
      <c r="K132" s="8"/>
      <c r="L132" s="8"/>
      <c r="M132" s="154"/>
    </row>
    <row r="133" spans="1:14" x14ac:dyDescent="0.25">
      <c r="A133" s="15"/>
      <c r="B133" s="8"/>
      <c r="D133" s="8" t="s">
        <v>4</v>
      </c>
      <c r="E133" s="8" t="s">
        <v>65</v>
      </c>
      <c r="F133" s="8" t="s">
        <v>5</v>
      </c>
      <c r="G133" s="8" t="s">
        <v>65</v>
      </c>
      <c r="H133" s="8" t="s">
        <v>6</v>
      </c>
      <c r="I133" s="8" t="s">
        <v>65</v>
      </c>
      <c r="J133" s="8" t="s">
        <v>7</v>
      </c>
      <c r="K133" s="8" t="s">
        <v>66</v>
      </c>
      <c r="L133" s="8" t="s">
        <v>8</v>
      </c>
      <c r="M133" s="154" t="s">
        <v>9</v>
      </c>
    </row>
    <row r="134" spans="1:14" x14ac:dyDescent="0.3">
      <c r="A134" s="16"/>
      <c r="D134" s="17">
        <v>2</v>
      </c>
      <c r="E134" s="17" t="s">
        <v>65</v>
      </c>
      <c r="F134" s="18">
        <v>15.25</v>
      </c>
      <c r="G134" s="17" t="s">
        <v>65</v>
      </c>
      <c r="H134" s="18">
        <v>1.97</v>
      </c>
      <c r="I134" s="18"/>
      <c r="J134" s="4"/>
      <c r="K134" s="8" t="s">
        <v>66</v>
      </c>
      <c r="L134" s="18">
        <f>PRODUCT(D134:J134)</f>
        <v>60.085000000000001</v>
      </c>
      <c r="M134" s="9" t="s">
        <v>48</v>
      </c>
    </row>
    <row r="135" spans="1:14" x14ac:dyDescent="0.3">
      <c r="A135" s="16"/>
      <c r="D135" s="17">
        <v>2</v>
      </c>
      <c r="E135" s="17" t="s">
        <v>65</v>
      </c>
      <c r="F135" s="18">
        <v>12.100000000000001</v>
      </c>
      <c r="G135" s="17" t="s">
        <v>65</v>
      </c>
      <c r="H135" s="18">
        <v>1.97</v>
      </c>
      <c r="I135" s="18"/>
      <c r="J135" s="4"/>
      <c r="K135" s="8" t="s">
        <v>66</v>
      </c>
      <c r="L135" s="18">
        <f>PRODUCT(D135:J135)</f>
        <v>47.674000000000007</v>
      </c>
      <c r="M135" s="9" t="s">
        <v>48</v>
      </c>
    </row>
    <row r="136" spans="1:14" x14ac:dyDescent="0.3">
      <c r="A136" s="16"/>
      <c r="D136" s="17"/>
      <c r="E136" s="17"/>
      <c r="F136" s="18"/>
      <c r="G136" s="17"/>
      <c r="H136" s="18"/>
      <c r="I136" s="18"/>
      <c r="J136" s="4"/>
      <c r="K136" s="8"/>
      <c r="L136" s="18"/>
      <c r="M136" s="9"/>
    </row>
    <row r="137" spans="1:14" x14ac:dyDescent="0.25">
      <c r="A137" s="15"/>
      <c r="B137" s="8"/>
      <c r="D137" s="8"/>
      <c r="E137" s="8"/>
      <c r="F137" s="8"/>
      <c r="G137" s="8"/>
      <c r="H137" s="8"/>
      <c r="I137" s="8"/>
      <c r="J137" s="8" t="s">
        <v>64</v>
      </c>
      <c r="K137" s="8" t="s">
        <v>66</v>
      </c>
      <c r="L137" s="144">
        <f>SUM(L134:L136)</f>
        <v>107.75900000000001</v>
      </c>
      <c r="M137" s="154" t="s">
        <v>48</v>
      </c>
    </row>
    <row r="138" spans="1:14" x14ac:dyDescent="0.25">
      <c r="A138" s="15"/>
      <c r="B138" s="8"/>
      <c r="D138" s="8"/>
      <c r="E138" s="8"/>
      <c r="F138" s="8"/>
      <c r="G138" s="8"/>
      <c r="H138" s="8"/>
      <c r="I138" s="8"/>
      <c r="J138" s="8"/>
      <c r="K138" s="8"/>
      <c r="L138" s="20"/>
      <c r="M138" s="154"/>
    </row>
    <row r="139" spans="1:14" ht="59.4" customHeight="1" x14ac:dyDescent="0.3">
      <c r="B139" s="6">
        <f>+B131+1</f>
        <v>11</v>
      </c>
      <c r="C139" s="6">
        <v>29</v>
      </c>
      <c r="D139" s="205" t="str">
        <f>VLOOKUP(C139,RA!$A$2:D257,2,0)</f>
        <v>Providing internal cement plaster 6 mm thick in single coat in cement mortar 1:4 without neeru finish to concrete or brick surfaces, in all positions including scaffolding and curing etc. complete.</v>
      </c>
      <c r="E139" s="205"/>
      <c r="F139" s="205"/>
      <c r="G139" s="205"/>
      <c r="H139" s="205"/>
      <c r="I139" s="205"/>
      <c r="J139" s="205"/>
      <c r="K139" s="205"/>
      <c r="L139" s="205"/>
      <c r="M139" s="205"/>
      <c r="N139" s="153">
        <f>+L153</f>
        <v>95.269499999999994</v>
      </c>
    </row>
    <row r="140" spans="1:14" ht="18" customHeight="1" x14ac:dyDescent="0.25">
      <c r="A140" s="2"/>
      <c r="B140" s="8"/>
      <c r="D140" s="15" t="s">
        <v>78</v>
      </c>
      <c r="E140" s="8"/>
      <c r="F140" s="8"/>
      <c r="G140" s="8"/>
      <c r="H140" s="8"/>
      <c r="I140" s="8"/>
      <c r="J140" s="8"/>
      <c r="K140" s="8"/>
      <c r="L140" s="8"/>
      <c r="M140" s="154"/>
    </row>
    <row r="141" spans="1:14" x14ac:dyDescent="0.25">
      <c r="A141" s="15"/>
      <c r="B141" s="8"/>
      <c r="D141" s="8" t="s">
        <v>4</v>
      </c>
      <c r="E141" s="8" t="s">
        <v>65</v>
      </c>
      <c r="F141" s="8" t="s">
        <v>5</v>
      </c>
      <c r="G141" s="8" t="s">
        <v>75</v>
      </c>
      <c r="H141" s="8" t="s">
        <v>6</v>
      </c>
      <c r="I141" s="8" t="s">
        <v>65</v>
      </c>
      <c r="J141" s="8" t="s">
        <v>7</v>
      </c>
      <c r="K141" s="8" t="s">
        <v>66</v>
      </c>
      <c r="L141" s="8" t="s">
        <v>8</v>
      </c>
      <c r="M141" s="154" t="s">
        <v>9</v>
      </c>
    </row>
    <row r="142" spans="1:14" x14ac:dyDescent="0.3">
      <c r="A142" s="16" t="e">
        <f>+#REF!</f>
        <v>#REF!</v>
      </c>
      <c r="D142" s="6">
        <v>1</v>
      </c>
      <c r="E142" s="6" t="s">
        <v>65</v>
      </c>
      <c r="F142" s="18">
        <v>3.6</v>
      </c>
      <c r="G142" s="6" t="s">
        <v>75</v>
      </c>
      <c r="H142" s="18">
        <v>5.9</v>
      </c>
      <c r="I142" s="6" t="s">
        <v>65</v>
      </c>
      <c r="J142" s="22">
        <v>1.97</v>
      </c>
      <c r="K142" s="8" t="s">
        <v>66</v>
      </c>
      <c r="L142" s="18">
        <f>D142*(F142+H142)*J142</f>
        <v>18.715</v>
      </c>
      <c r="M142" s="9" t="s">
        <v>48</v>
      </c>
    </row>
    <row r="143" spans="1:14" x14ac:dyDescent="0.3">
      <c r="A143" s="16" t="e">
        <f>+#REF!</f>
        <v>#REF!</v>
      </c>
      <c r="D143" s="6">
        <v>1</v>
      </c>
      <c r="E143" s="6" t="s">
        <v>65</v>
      </c>
      <c r="F143" s="18">
        <v>3.6</v>
      </c>
      <c r="G143" s="6" t="s">
        <v>75</v>
      </c>
      <c r="H143" s="18">
        <v>5.75</v>
      </c>
      <c r="I143" s="6" t="s">
        <v>65</v>
      </c>
      <c r="J143" s="22">
        <v>1.97</v>
      </c>
      <c r="K143" s="8" t="s">
        <v>66</v>
      </c>
      <c r="L143" s="18">
        <f t="shared" ref="L143:L149" si="18">D143*(F143+H143)*J143</f>
        <v>18.419499999999999</v>
      </c>
      <c r="M143" s="9" t="s">
        <v>48</v>
      </c>
    </row>
    <row r="144" spans="1:14" x14ac:dyDescent="0.3">
      <c r="A144" s="16" t="e">
        <f>+#REF!</f>
        <v>#REF!</v>
      </c>
      <c r="D144" s="6">
        <v>1</v>
      </c>
      <c r="E144" s="6" t="s">
        <v>65</v>
      </c>
      <c r="F144" s="18">
        <v>3.6</v>
      </c>
      <c r="G144" s="6" t="s">
        <v>75</v>
      </c>
      <c r="H144" s="18">
        <v>5.9</v>
      </c>
      <c r="I144" s="6" t="s">
        <v>65</v>
      </c>
      <c r="J144" s="22">
        <v>1.97</v>
      </c>
      <c r="K144" s="8" t="s">
        <v>66</v>
      </c>
      <c r="L144" s="18">
        <f t="shared" si="18"/>
        <v>18.715</v>
      </c>
      <c r="M144" s="9" t="s">
        <v>48</v>
      </c>
    </row>
    <row r="145" spans="1:14" x14ac:dyDescent="0.3">
      <c r="A145" s="16" t="e">
        <f>+#REF!</f>
        <v>#REF!</v>
      </c>
      <c r="D145" s="6">
        <v>1</v>
      </c>
      <c r="E145" s="6" t="s">
        <v>65</v>
      </c>
      <c r="F145" s="18">
        <v>3.6</v>
      </c>
      <c r="G145" s="6" t="s">
        <v>75</v>
      </c>
      <c r="H145" s="18">
        <v>5.75</v>
      </c>
      <c r="I145" s="6" t="s">
        <v>65</v>
      </c>
      <c r="J145" s="22">
        <v>1.97</v>
      </c>
      <c r="K145" s="8" t="s">
        <v>66</v>
      </c>
      <c r="L145" s="18">
        <f t="shared" si="18"/>
        <v>18.419499999999999</v>
      </c>
      <c r="M145" s="9" t="s">
        <v>48</v>
      </c>
    </row>
    <row r="146" spans="1:14" x14ac:dyDescent="0.3">
      <c r="A146" s="16" t="e">
        <f>+#REF!</f>
        <v>#REF!</v>
      </c>
      <c r="D146" s="6">
        <v>1</v>
      </c>
      <c r="E146" s="6" t="s">
        <v>65</v>
      </c>
      <c r="F146" s="18">
        <v>3.5</v>
      </c>
      <c r="G146" s="6" t="s">
        <v>75</v>
      </c>
      <c r="H146" s="18">
        <v>5.9</v>
      </c>
      <c r="I146" s="6" t="s">
        <v>65</v>
      </c>
      <c r="J146" s="22">
        <v>1.97</v>
      </c>
      <c r="K146" s="8" t="s">
        <v>66</v>
      </c>
      <c r="L146" s="18">
        <f t="shared" si="18"/>
        <v>18.518000000000001</v>
      </c>
      <c r="M146" s="9" t="s">
        <v>48</v>
      </c>
    </row>
    <row r="147" spans="1:14" x14ac:dyDescent="0.3">
      <c r="A147" s="16" t="e">
        <f>+#REF!</f>
        <v>#REF!</v>
      </c>
      <c r="D147" s="6">
        <v>1</v>
      </c>
      <c r="E147" s="6" t="s">
        <v>65</v>
      </c>
      <c r="F147" s="18">
        <v>3.5</v>
      </c>
      <c r="G147" s="6" t="s">
        <v>75</v>
      </c>
      <c r="H147" s="18">
        <v>5.75</v>
      </c>
      <c r="I147" s="6" t="s">
        <v>65</v>
      </c>
      <c r="J147" s="22">
        <v>1.97</v>
      </c>
      <c r="K147" s="8" t="s">
        <v>66</v>
      </c>
      <c r="L147" s="18">
        <f t="shared" si="18"/>
        <v>18.2225</v>
      </c>
      <c r="M147" s="9" t="s">
        <v>48</v>
      </c>
    </row>
    <row r="148" spans="1:14" x14ac:dyDescent="0.3">
      <c r="A148" s="16" t="e">
        <f>+#REF!</f>
        <v>#REF!</v>
      </c>
      <c r="D148" s="6">
        <v>1</v>
      </c>
      <c r="E148" s="6" t="s">
        <v>65</v>
      </c>
      <c r="F148" s="18">
        <v>3.8</v>
      </c>
      <c r="G148" s="6" t="s">
        <v>75</v>
      </c>
      <c r="H148" s="18">
        <v>5.9</v>
      </c>
      <c r="I148" s="6" t="s">
        <v>65</v>
      </c>
      <c r="J148" s="22">
        <v>1.97</v>
      </c>
      <c r="K148" s="8" t="s">
        <v>66</v>
      </c>
      <c r="L148" s="18">
        <f t="shared" si="18"/>
        <v>19.108999999999998</v>
      </c>
      <c r="M148" s="9" t="s">
        <v>48</v>
      </c>
    </row>
    <row r="149" spans="1:14" x14ac:dyDescent="0.3">
      <c r="A149" s="16" t="e">
        <f>+#REF!</f>
        <v>#REF!</v>
      </c>
      <c r="D149" s="6">
        <v>1</v>
      </c>
      <c r="E149" s="6" t="s">
        <v>65</v>
      </c>
      <c r="F149" s="18">
        <v>3.8</v>
      </c>
      <c r="G149" s="6" t="s">
        <v>75</v>
      </c>
      <c r="H149" s="18">
        <v>5.75</v>
      </c>
      <c r="I149" s="6" t="s">
        <v>65</v>
      </c>
      <c r="J149" s="22">
        <v>1.97</v>
      </c>
      <c r="K149" s="8" t="s">
        <v>66</v>
      </c>
      <c r="L149" s="18">
        <f t="shared" si="18"/>
        <v>18.813500000000001</v>
      </c>
      <c r="M149" s="9" t="s">
        <v>48</v>
      </c>
    </row>
    <row r="150" spans="1:14" x14ac:dyDescent="0.25">
      <c r="A150" s="15"/>
      <c r="B150" s="8"/>
      <c r="D150" s="8"/>
      <c r="E150" s="8"/>
      <c r="F150" s="8"/>
      <c r="G150" s="8"/>
      <c r="H150" s="8"/>
      <c r="I150" s="8"/>
      <c r="J150" s="8" t="s">
        <v>64</v>
      </c>
      <c r="K150" s="8" t="s">
        <v>66</v>
      </c>
      <c r="L150" s="144">
        <f>SUM(L142:L147)</f>
        <v>111.0095</v>
      </c>
      <c r="M150" s="154" t="s">
        <v>48</v>
      </c>
    </row>
    <row r="151" spans="1:14" x14ac:dyDescent="0.3">
      <c r="A151" s="16" t="s">
        <v>331</v>
      </c>
      <c r="D151" s="17">
        <v>8</v>
      </c>
      <c r="E151" s="6" t="s">
        <v>65</v>
      </c>
      <c r="F151" s="18">
        <v>0.85</v>
      </c>
      <c r="G151" s="6" t="s">
        <v>65</v>
      </c>
      <c r="H151" s="18">
        <v>1.75</v>
      </c>
      <c r="I151" s="18"/>
      <c r="J151" s="4"/>
      <c r="K151" s="8" t="s">
        <v>66</v>
      </c>
      <c r="L151" s="18">
        <f>-D151*F151*H151</f>
        <v>-11.9</v>
      </c>
      <c r="M151" s="9" t="s">
        <v>48</v>
      </c>
    </row>
    <row r="152" spans="1:14" x14ac:dyDescent="0.3">
      <c r="A152" s="16" t="s">
        <v>332</v>
      </c>
      <c r="D152" s="17">
        <v>8</v>
      </c>
      <c r="E152" s="6" t="s">
        <v>65</v>
      </c>
      <c r="F152" s="18">
        <v>0.6</v>
      </c>
      <c r="G152" s="6" t="s">
        <v>65</v>
      </c>
      <c r="H152" s="18">
        <v>0.8</v>
      </c>
      <c r="I152" s="18"/>
      <c r="J152" s="4"/>
      <c r="K152" s="8" t="s">
        <v>66</v>
      </c>
      <c r="L152" s="18">
        <f>-D152*F152*H152</f>
        <v>-3.84</v>
      </c>
      <c r="M152" s="9" t="s">
        <v>48</v>
      </c>
    </row>
    <row r="153" spans="1:14" x14ac:dyDescent="0.25">
      <c r="A153" s="15"/>
      <c r="B153" s="8"/>
      <c r="D153" s="15"/>
      <c r="E153" s="15"/>
      <c r="F153" s="15"/>
      <c r="G153" s="15"/>
      <c r="H153" s="15"/>
      <c r="I153" s="15"/>
      <c r="J153" s="147" t="s">
        <v>68</v>
      </c>
      <c r="K153" s="147" t="s">
        <v>66</v>
      </c>
      <c r="L153" s="148">
        <f>SUM(L150:L152)</f>
        <v>95.269499999999994</v>
      </c>
      <c r="M153" s="155" t="s">
        <v>48</v>
      </c>
    </row>
    <row r="154" spans="1:14" x14ac:dyDescent="0.3">
      <c r="L154" s="22"/>
    </row>
    <row r="155" spans="1:14" ht="64.2" customHeight="1" x14ac:dyDescent="0.3">
      <c r="B155" s="6">
        <f>+B139+1</f>
        <v>12</v>
      </c>
      <c r="C155" s="6">
        <v>97</v>
      </c>
      <c r="D155" s="205" t="str">
        <f>VLOOKUP(C155,RA!$A$2:D270,2,0)</f>
        <v>Providing and fixing Jungle wood door of frame 60 mm X 100 mm for second class door's and window with / without ventilator fan light and clear storey windows including chamfering / rounding rebating and hold fast finishing with one coat of primer etc. conplete. as directed.</v>
      </c>
      <c r="E155" s="205"/>
      <c r="F155" s="205"/>
      <c r="G155" s="205"/>
      <c r="H155" s="205"/>
      <c r="I155" s="205"/>
      <c r="J155" s="205"/>
      <c r="K155" s="205"/>
      <c r="L155" s="205"/>
      <c r="M155" s="205"/>
      <c r="N155" s="153">
        <f>+L161</f>
        <v>15.74</v>
      </c>
    </row>
    <row r="156" spans="1:14" ht="18" customHeight="1" x14ac:dyDescent="0.25">
      <c r="A156" s="2"/>
      <c r="B156" s="8"/>
      <c r="D156" s="15" t="s">
        <v>333</v>
      </c>
      <c r="E156" s="8"/>
      <c r="F156" s="8"/>
      <c r="G156" s="8"/>
      <c r="H156" s="8"/>
      <c r="I156" s="8"/>
      <c r="J156" s="8"/>
      <c r="K156" s="8"/>
      <c r="L156" s="8"/>
      <c r="M156" s="154"/>
    </row>
    <row r="157" spans="1:14" x14ac:dyDescent="0.25">
      <c r="A157" s="15"/>
      <c r="B157" s="8"/>
      <c r="D157" s="8" t="s">
        <v>4</v>
      </c>
      <c r="E157" s="8" t="s">
        <v>65</v>
      </c>
      <c r="F157" s="8" t="s">
        <v>5</v>
      </c>
      <c r="G157" s="8" t="s">
        <v>65</v>
      </c>
      <c r="H157" s="8" t="s">
        <v>6</v>
      </c>
      <c r="I157" s="8"/>
      <c r="J157" s="8"/>
      <c r="K157" s="8" t="s">
        <v>66</v>
      </c>
      <c r="L157" s="8" t="s">
        <v>8</v>
      </c>
      <c r="M157" s="154" t="s">
        <v>9</v>
      </c>
    </row>
    <row r="158" spans="1:14" x14ac:dyDescent="0.3">
      <c r="A158" s="16" t="str">
        <f>+A151</f>
        <v>D1-D8</v>
      </c>
      <c r="D158" s="17">
        <v>8</v>
      </c>
      <c r="E158" s="17" t="s">
        <v>65</v>
      </c>
      <c r="F158" s="18">
        <v>0.85</v>
      </c>
      <c r="G158" s="18" t="s">
        <v>65</v>
      </c>
      <c r="H158" s="18">
        <v>1.75</v>
      </c>
      <c r="I158" s="18"/>
      <c r="J158" s="4"/>
      <c r="K158" s="8" t="s">
        <v>66</v>
      </c>
      <c r="L158" s="18">
        <f>D158*F158*H158</f>
        <v>11.9</v>
      </c>
      <c r="M158" s="9" t="s">
        <v>48</v>
      </c>
    </row>
    <row r="159" spans="1:14" x14ac:dyDescent="0.25">
      <c r="A159" s="16" t="str">
        <f>+A152</f>
        <v>W1-W8</v>
      </c>
      <c r="B159" s="8"/>
      <c r="D159" s="17">
        <v>8</v>
      </c>
      <c r="E159" s="17" t="s">
        <v>65</v>
      </c>
      <c r="F159" s="18">
        <v>0.6</v>
      </c>
      <c r="G159" s="18" t="s">
        <v>65</v>
      </c>
      <c r="H159" s="18">
        <v>0.8</v>
      </c>
      <c r="I159" s="8"/>
      <c r="J159" s="2"/>
      <c r="K159" s="8" t="s">
        <v>66</v>
      </c>
      <c r="L159" s="18">
        <f>D159*F159*H159</f>
        <v>3.84</v>
      </c>
      <c r="M159" s="9" t="s">
        <v>48</v>
      </c>
    </row>
    <row r="160" spans="1:14" x14ac:dyDescent="0.3">
      <c r="F160" s="145"/>
      <c r="G160" s="145"/>
      <c r="H160" s="145"/>
    </row>
    <row r="161" spans="1:13" x14ac:dyDescent="0.3">
      <c r="J161" s="147" t="s">
        <v>64</v>
      </c>
      <c r="K161" s="147" t="s">
        <v>66</v>
      </c>
      <c r="L161" s="148">
        <f>SUM(L158:L160)</f>
        <v>15.74</v>
      </c>
      <c r="M161" s="155" t="s">
        <v>48</v>
      </c>
    </row>
    <row r="169" spans="1:13" x14ac:dyDescent="0.3">
      <c r="A169" s="60" t="s">
        <v>308</v>
      </c>
      <c r="B169" s="62"/>
      <c r="C169" s="58"/>
      <c r="D169" s="120"/>
      <c r="E169" s="59" t="s">
        <v>309</v>
      </c>
      <c r="F169" s="62"/>
      <c r="G169" s="120"/>
      <c r="H169" s="121"/>
      <c r="I169" s="122"/>
      <c r="J169" s="75"/>
      <c r="K169" s="123"/>
    </row>
    <row r="170" spans="1:13" x14ac:dyDescent="0.3">
      <c r="A170" s="60"/>
      <c r="B170" s="62"/>
      <c r="C170" s="58"/>
      <c r="D170" s="120"/>
      <c r="E170" s="60"/>
      <c r="F170" s="62"/>
      <c r="G170" s="120"/>
      <c r="H170" s="121"/>
      <c r="I170" s="122"/>
      <c r="J170" s="75"/>
      <c r="K170" s="123"/>
    </row>
    <row r="171" spans="1:13" x14ac:dyDescent="0.3">
      <c r="A171" s="62"/>
      <c r="B171" s="62"/>
      <c r="C171" s="58"/>
      <c r="D171" s="120"/>
      <c r="E171" s="62"/>
      <c r="F171" s="62"/>
      <c r="G171" s="31"/>
      <c r="H171" s="121"/>
      <c r="I171" s="124"/>
      <c r="J171" s="125"/>
      <c r="K171" s="121"/>
    </row>
    <row r="172" spans="1:13" x14ac:dyDescent="0.3">
      <c r="A172" s="62"/>
      <c r="B172" s="62"/>
      <c r="C172" s="58"/>
      <c r="D172" s="120"/>
      <c r="E172" s="62"/>
      <c r="F172" s="62"/>
      <c r="G172" s="31"/>
      <c r="H172" s="121"/>
      <c r="I172" s="124"/>
      <c r="J172" s="125"/>
      <c r="K172" s="121"/>
    </row>
    <row r="173" spans="1:13" x14ac:dyDescent="0.3">
      <c r="A173" s="62"/>
      <c r="B173" s="62"/>
      <c r="C173" s="58"/>
      <c r="D173" s="120"/>
      <c r="E173" s="62"/>
      <c r="F173" s="62"/>
      <c r="G173" s="31"/>
      <c r="H173" s="121"/>
      <c r="I173" s="2"/>
      <c r="J173" s="87" t="s">
        <v>311</v>
      </c>
      <c r="K173" s="121"/>
    </row>
    <row r="174" spans="1:13" x14ac:dyDescent="0.3">
      <c r="A174" s="53"/>
      <c r="B174" s="62"/>
      <c r="C174" s="66"/>
      <c r="D174" s="31"/>
      <c r="E174" s="62"/>
      <c r="F174" s="62"/>
      <c r="G174" s="87"/>
      <c r="H174" s="121"/>
      <c r="I174" s="2"/>
      <c r="J174" s="87" t="s">
        <v>312</v>
      </c>
      <c r="K174" s="126"/>
    </row>
    <row r="175" spans="1:13" x14ac:dyDescent="0.3">
      <c r="A175" s="53"/>
      <c r="B175" s="66" t="s">
        <v>310</v>
      </c>
      <c r="C175" s="135"/>
      <c r="D175" s="31"/>
      <c r="E175" s="53" t="s">
        <v>289</v>
      </c>
      <c r="F175" s="62"/>
      <c r="G175" s="87"/>
      <c r="H175" s="121"/>
      <c r="I175" s="2"/>
      <c r="J175" s="87" t="s">
        <v>313</v>
      </c>
      <c r="K175" s="126"/>
    </row>
    <row r="176" spans="1:13" x14ac:dyDescent="0.3">
      <c r="A176" s="62"/>
      <c r="B176" s="62"/>
      <c r="C176" s="58"/>
      <c r="D176" s="120"/>
      <c r="E176" s="121"/>
      <c r="F176" s="31"/>
      <c r="G176" s="87"/>
      <c r="H176" s="121"/>
      <c r="I176" s="2"/>
      <c r="J176" s="87" t="s">
        <v>314</v>
      </c>
      <c r="K176" s="126"/>
    </row>
    <row r="177" spans="1:11" x14ac:dyDescent="0.3">
      <c r="A177" s="53"/>
      <c r="B177" s="62"/>
      <c r="C177" s="66"/>
      <c r="D177" s="57"/>
      <c r="E177" s="57"/>
      <c r="F177" s="31"/>
      <c r="G177" s="87"/>
      <c r="H177" s="57"/>
      <c r="I177" s="31"/>
      <c r="J177" s="50"/>
      <c r="K177" s="126"/>
    </row>
    <row r="178" spans="1:11" x14ac:dyDescent="0.3">
      <c r="A178" s="53"/>
      <c r="B178" s="62"/>
      <c r="C178" s="66"/>
      <c r="D178" s="57"/>
      <c r="E178" s="31"/>
      <c r="F178" s="31"/>
      <c r="G178" s="31"/>
      <c r="H178" s="87"/>
      <c r="I178" s="57"/>
      <c r="J178" s="50"/>
      <c r="K178" s="127"/>
    </row>
    <row r="179" spans="1:11" x14ac:dyDescent="0.3">
      <c r="A179" s="53"/>
      <c r="B179" s="62"/>
      <c r="C179" s="66"/>
      <c r="D179" s="57"/>
      <c r="E179" s="31"/>
      <c r="F179" s="31"/>
      <c r="G179" s="31"/>
      <c r="H179" s="87"/>
      <c r="I179" s="57"/>
      <c r="J179" s="50"/>
      <c r="K179" s="127"/>
    </row>
    <row r="180" spans="1:11" x14ac:dyDescent="0.3">
      <c r="A180" s="53"/>
      <c r="B180" s="62"/>
      <c r="C180" s="66"/>
      <c r="D180" s="57"/>
      <c r="E180" s="31"/>
      <c r="F180" s="66"/>
      <c r="G180" s="31"/>
      <c r="H180" s="66"/>
      <c r="I180" s="57"/>
      <c r="J180" s="50"/>
      <c r="K180" s="127"/>
    </row>
    <row r="181" spans="1:11" x14ac:dyDescent="0.3">
      <c r="A181" s="53"/>
      <c r="B181" s="62"/>
      <c r="C181" s="66"/>
      <c r="D181" s="57"/>
      <c r="E181" s="31"/>
      <c r="F181" s="66"/>
      <c r="G181" s="31"/>
      <c r="H181" s="66"/>
      <c r="I181" s="57"/>
      <c r="J181" s="50"/>
      <c r="K181" s="127"/>
    </row>
    <row r="182" spans="1:11" x14ac:dyDescent="0.3">
      <c r="A182" s="53"/>
      <c r="B182" s="62"/>
      <c r="C182" s="66"/>
      <c r="D182" s="128"/>
      <c r="E182" s="2"/>
      <c r="F182" s="2"/>
      <c r="G182" s="2"/>
      <c r="H182" s="2"/>
      <c r="I182" s="2"/>
      <c r="J182" s="50"/>
      <c r="K182" s="61"/>
    </row>
    <row r="183" spans="1:11" x14ac:dyDescent="0.3">
      <c r="A183" s="53"/>
      <c r="B183" s="62"/>
      <c r="C183" s="66"/>
      <c r="D183" s="31"/>
      <c r="E183" s="2"/>
      <c r="F183" s="2"/>
      <c r="G183" s="2"/>
      <c r="H183" s="2"/>
      <c r="I183" s="2"/>
      <c r="J183" s="31"/>
      <c r="K183" s="31"/>
    </row>
    <row r="184" spans="1:11" x14ac:dyDescent="0.3">
      <c r="A184" s="53"/>
      <c r="B184" s="62"/>
      <c r="C184" s="66"/>
      <c r="D184" s="31"/>
      <c r="E184" s="2"/>
      <c r="F184" s="2"/>
      <c r="G184" s="2"/>
      <c r="H184" s="2"/>
      <c r="I184" s="2"/>
      <c r="J184" s="31"/>
      <c r="K184" s="126"/>
    </row>
    <row r="185" spans="1:11" x14ac:dyDescent="0.3">
      <c r="A185" s="53"/>
      <c r="B185" s="62"/>
      <c r="C185" s="66"/>
      <c r="D185" s="31"/>
      <c r="E185" s="2"/>
      <c r="F185" s="2"/>
      <c r="G185" s="2"/>
      <c r="H185" s="2"/>
      <c r="I185" s="2"/>
      <c r="J185" s="31"/>
      <c r="K185" s="126"/>
    </row>
  </sheetData>
  <mergeCells count="20">
    <mergeCell ref="D139:M139"/>
    <mergeCell ref="A3:M3"/>
    <mergeCell ref="D36:M36"/>
    <mergeCell ref="D155:M155"/>
    <mergeCell ref="D8:M8"/>
    <mergeCell ref="D9:M9"/>
    <mergeCell ref="D18:M18"/>
    <mergeCell ref="D27:M27"/>
    <mergeCell ref="D43:M43"/>
    <mergeCell ref="D122:M122"/>
    <mergeCell ref="D131:M131"/>
    <mergeCell ref="D108:M108"/>
    <mergeCell ref="D55:M55"/>
    <mergeCell ref="D62:M62"/>
    <mergeCell ref="A7:N7"/>
    <mergeCell ref="A1:N1"/>
    <mergeCell ref="A2:N2"/>
    <mergeCell ref="D5:H5"/>
    <mergeCell ref="A6:B6"/>
    <mergeCell ref="D6:H6"/>
  </mergeCells>
  <phoneticPr fontId="32" type="noConversion"/>
  <pageMargins left="0.75" right="0.75" top="1" bottom="1" header="0.511811023622047" footer="0.511811023622047"/>
  <pageSetup paperSize="9" scale="86"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CC2AE-21F0-405C-A70C-FCBBE0826F94}">
  <dimension ref="A1:I142"/>
  <sheetViews>
    <sheetView topLeftCell="A100" workbookViewId="0">
      <selection activeCell="B109" sqref="B109"/>
    </sheetView>
  </sheetViews>
  <sheetFormatPr defaultRowHeight="14.4" x14ac:dyDescent="0.3"/>
  <cols>
    <col min="1" max="1" width="8.21875" bestFit="1" customWidth="1"/>
    <col min="2" max="2" width="89.21875" style="28" customWidth="1"/>
    <col min="3" max="3" width="10" bestFit="1" customWidth="1"/>
    <col min="4" max="4" width="6" bestFit="1" customWidth="1"/>
  </cols>
  <sheetData>
    <row r="1" spans="1:4" s="24" customFormat="1" ht="28.8" customHeight="1" x14ac:dyDescent="0.3">
      <c r="A1" s="24" t="s">
        <v>345</v>
      </c>
      <c r="B1" s="25" t="s">
        <v>346</v>
      </c>
      <c r="C1" s="24" t="s">
        <v>79</v>
      </c>
      <c r="D1" s="24" t="s">
        <v>347</v>
      </c>
    </row>
    <row r="2" spans="1:4" s="26" customFormat="1" ht="57.6" x14ac:dyDescent="0.3">
      <c r="A2" s="26">
        <v>1</v>
      </c>
      <c r="B2" s="27" t="s">
        <v>80</v>
      </c>
      <c r="C2" s="26">
        <v>202.85</v>
      </c>
      <c r="D2" s="26" t="s">
        <v>10</v>
      </c>
    </row>
    <row r="3" spans="1:4" s="26" customFormat="1" ht="57.6" x14ac:dyDescent="0.3">
      <c r="A3" s="26">
        <v>2</v>
      </c>
      <c r="B3" s="27" t="s">
        <v>81</v>
      </c>
      <c r="C3" s="26">
        <v>252.85</v>
      </c>
      <c r="D3" s="26" t="s">
        <v>10</v>
      </c>
    </row>
    <row r="4" spans="1:4" s="26" customFormat="1" ht="57.6" x14ac:dyDescent="0.3">
      <c r="A4" s="26">
        <v>3</v>
      </c>
      <c r="B4" s="27" t="s">
        <v>82</v>
      </c>
      <c r="C4" s="26">
        <v>222.45000000000002</v>
      </c>
      <c r="D4" s="26" t="s">
        <v>10</v>
      </c>
    </row>
    <row r="5" spans="1:4" s="26" customFormat="1" ht="28.8" x14ac:dyDescent="0.3">
      <c r="A5" s="26">
        <v>4</v>
      </c>
      <c r="B5" s="27" t="s">
        <v>83</v>
      </c>
      <c r="C5" s="26">
        <v>2130.4</v>
      </c>
      <c r="D5" s="26" t="s">
        <v>10</v>
      </c>
    </row>
    <row r="6" spans="1:4" s="26" customFormat="1" ht="72" x14ac:dyDescent="0.3">
      <c r="A6" s="26">
        <v>5</v>
      </c>
      <c r="B6" s="27" t="s">
        <v>84</v>
      </c>
      <c r="C6" s="26">
        <v>6335.75</v>
      </c>
      <c r="D6" s="26" t="s">
        <v>10</v>
      </c>
    </row>
    <row r="7" spans="1:4" s="26" customFormat="1" ht="86.4" x14ac:dyDescent="0.3">
      <c r="A7" s="26">
        <v>6</v>
      </c>
      <c r="B7" s="27" t="s">
        <v>85</v>
      </c>
      <c r="C7" s="26">
        <v>7578</v>
      </c>
      <c r="D7" s="26" t="s">
        <v>10</v>
      </c>
    </row>
    <row r="8" spans="1:4" s="26" customFormat="1" ht="28.8" x14ac:dyDescent="0.3">
      <c r="A8" s="26">
        <v>7</v>
      </c>
      <c r="B8" s="27" t="s">
        <v>86</v>
      </c>
      <c r="C8" s="26">
        <v>1982.8</v>
      </c>
      <c r="D8" s="26" t="s">
        <v>10</v>
      </c>
    </row>
    <row r="9" spans="1:4" s="26" customFormat="1" ht="28.8" x14ac:dyDescent="0.3">
      <c r="A9" s="26">
        <v>8</v>
      </c>
      <c r="B9" s="27" t="s">
        <v>87</v>
      </c>
      <c r="C9" s="26">
        <v>3017.3500000000004</v>
      </c>
      <c r="D9" s="26" t="s">
        <v>10</v>
      </c>
    </row>
    <row r="10" spans="1:4" s="26" customFormat="1" ht="28.8" x14ac:dyDescent="0.3">
      <c r="A10" s="26">
        <v>9</v>
      </c>
      <c r="B10" s="27" t="s">
        <v>88</v>
      </c>
      <c r="C10" s="26">
        <v>2154.15</v>
      </c>
      <c r="D10" s="26" t="s">
        <v>10</v>
      </c>
    </row>
    <row r="11" spans="1:4" s="26" customFormat="1" ht="43.2" x14ac:dyDescent="0.3">
      <c r="A11" s="26">
        <v>10</v>
      </c>
      <c r="B11" s="27" t="s">
        <v>89</v>
      </c>
      <c r="C11" s="26">
        <v>5926.35</v>
      </c>
      <c r="D11" s="26" t="s">
        <v>10</v>
      </c>
    </row>
    <row r="12" spans="1:4" s="26" customFormat="1" ht="43.2" x14ac:dyDescent="0.3">
      <c r="A12" s="26">
        <v>11</v>
      </c>
      <c r="B12" s="27" t="s">
        <v>90</v>
      </c>
      <c r="C12" s="26">
        <v>14010.35</v>
      </c>
      <c r="D12" s="26" t="s">
        <v>91</v>
      </c>
    </row>
    <row r="13" spans="1:4" s="26" customFormat="1" ht="28.8" x14ac:dyDescent="0.3">
      <c r="A13" s="26">
        <v>12</v>
      </c>
      <c r="B13" s="27" t="s">
        <v>92</v>
      </c>
      <c r="C13" s="26">
        <v>117.6</v>
      </c>
      <c r="D13" s="26" t="s">
        <v>10</v>
      </c>
    </row>
    <row r="14" spans="1:4" s="26" customFormat="1" ht="28.8" x14ac:dyDescent="0.3">
      <c r="A14" s="26">
        <v>13</v>
      </c>
      <c r="B14" s="27" t="s">
        <v>93</v>
      </c>
      <c r="C14" s="26">
        <v>2232.8000000000002</v>
      </c>
      <c r="D14" s="26" t="s">
        <v>10</v>
      </c>
    </row>
    <row r="15" spans="1:4" s="26" customFormat="1" ht="43.2" x14ac:dyDescent="0.3">
      <c r="A15" s="26">
        <v>14</v>
      </c>
      <c r="B15" s="27" t="s">
        <v>94</v>
      </c>
      <c r="C15" s="26">
        <v>6109.85</v>
      </c>
      <c r="D15" s="26" t="s">
        <v>95</v>
      </c>
    </row>
    <row r="16" spans="1:4" s="26" customFormat="1" ht="43.2" x14ac:dyDescent="0.3">
      <c r="A16" s="26">
        <v>15</v>
      </c>
      <c r="B16" s="27" t="s">
        <v>96</v>
      </c>
      <c r="C16" s="26">
        <v>5897.1</v>
      </c>
      <c r="D16" s="26" t="s">
        <v>95</v>
      </c>
    </row>
    <row r="17" spans="1:9" s="26" customFormat="1" ht="28.8" x14ac:dyDescent="0.3">
      <c r="A17" s="26">
        <v>16</v>
      </c>
      <c r="B17" s="27" t="s">
        <v>97</v>
      </c>
      <c r="C17" s="26">
        <v>8587.7000000000007</v>
      </c>
      <c r="D17" s="26" t="s">
        <v>10</v>
      </c>
    </row>
    <row r="18" spans="1:9" s="26" customFormat="1" ht="43.2" x14ac:dyDescent="0.3">
      <c r="A18" s="26">
        <v>17</v>
      </c>
      <c r="B18" s="27" t="s">
        <v>98</v>
      </c>
      <c r="C18" s="26">
        <v>8353.5</v>
      </c>
      <c r="D18" s="26" t="s">
        <v>10</v>
      </c>
    </row>
    <row r="19" spans="1:9" s="26" customFormat="1" ht="28.8" x14ac:dyDescent="0.3">
      <c r="A19" s="26">
        <v>18</v>
      </c>
      <c r="B19" s="27" t="s">
        <v>99</v>
      </c>
      <c r="C19" s="26">
        <v>2092.75</v>
      </c>
      <c r="D19" s="26" t="s">
        <v>10</v>
      </c>
    </row>
    <row r="20" spans="1:9" s="26" customFormat="1" ht="28.8" x14ac:dyDescent="0.3">
      <c r="A20" s="26">
        <v>19</v>
      </c>
      <c r="B20" s="27" t="s">
        <v>100</v>
      </c>
      <c r="C20" s="26">
        <v>7717.45</v>
      </c>
      <c r="D20" s="26" t="s">
        <v>10</v>
      </c>
    </row>
    <row r="21" spans="1:9" s="26" customFormat="1" ht="62.4" x14ac:dyDescent="0.3">
      <c r="A21" s="26">
        <v>19.100000000000001</v>
      </c>
      <c r="B21" s="137" t="s">
        <v>338</v>
      </c>
      <c r="C21" s="137">
        <v>7152.1</v>
      </c>
      <c r="D21" s="137" t="s">
        <v>10</v>
      </c>
      <c r="E21" s="137"/>
      <c r="F21" s="137"/>
      <c r="G21" s="137"/>
      <c r="H21" s="137"/>
      <c r="I21" s="137"/>
    </row>
    <row r="22" spans="1:9" s="26" customFormat="1" ht="57.6" x14ac:dyDescent="0.3">
      <c r="A22" s="26">
        <v>19.2</v>
      </c>
      <c r="B22" s="27" t="s">
        <v>339</v>
      </c>
      <c r="C22" s="26">
        <v>1556.6999999999998</v>
      </c>
      <c r="D22" s="26" t="s">
        <v>48</v>
      </c>
    </row>
    <row r="23" spans="1:9" s="26" customFormat="1" ht="72" x14ac:dyDescent="0.3">
      <c r="A23" s="26">
        <v>19.3</v>
      </c>
      <c r="B23" s="27" t="s">
        <v>340</v>
      </c>
      <c r="C23" s="26">
        <v>7347</v>
      </c>
      <c r="D23" s="26" t="s">
        <v>10</v>
      </c>
    </row>
    <row r="24" spans="1:9" s="26" customFormat="1" ht="115.2" x14ac:dyDescent="0.3">
      <c r="A24" s="26">
        <v>20</v>
      </c>
      <c r="B24" s="27" t="s">
        <v>101</v>
      </c>
      <c r="C24" s="26">
        <v>6857.1500000000005</v>
      </c>
      <c r="D24" s="26" t="s">
        <v>10</v>
      </c>
    </row>
    <row r="25" spans="1:9" s="26" customFormat="1" ht="86.4" x14ac:dyDescent="0.3">
      <c r="A25" s="26">
        <v>21</v>
      </c>
      <c r="B25" s="27" t="s">
        <v>102</v>
      </c>
      <c r="C25" s="26">
        <v>12639.7</v>
      </c>
      <c r="D25" s="26" t="s">
        <v>10</v>
      </c>
    </row>
    <row r="26" spans="1:9" s="26" customFormat="1" ht="86.4" x14ac:dyDescent="0.3">
      <c r="A26" s="26">
        <v>22</v>
      </c>
      <c r="B26" s="27" t="s">
        <v>103</v>
      </c>
      <c r="C26" s="26">
        <v>14269.400000000001</v>
      </c>
      <c r="D26" s="26" t="s">
        <v>10</v>
      </c>
    </row>
    <row r="27" spans="1:9" s="26" customFormat="1" ht="100.8" x14ac:dyDescent="0.3">
      <c r="A27" s="26">
        <v>23</v>
      </c>
      <c r="B27" s="27" t="s">
        <v>104</v>
      </c>
      <c r="C27" s="26">
        <v>14269.400000000001</v>
      </c>
      <c r="D27" s="26" t="s">
        <v>10</v>
      </c>
    </row>
    <row r="28" spans="1:9" s="26" customFormat="1" ht="86.4" x14ac:dyDescent="0.3">
      <c r="A28" s="26">
        <v>24</v>
      </c>
      <c r="B28" s="27" t="s">
        <v>105</v>
      </c>
      <c r="C28" s="26">
        <v>15871.7</v>
      </c>
      <c r="D28" s="26" t="s">
        <v>10</v>
      </c>
    </row>
    <row r="29" spans="1:9" s="26" customFormat="1" ht="115.2" x14ac:dyDescent="0.3">
      <c r="A29" s="26">
        <v>25</v>
      </c>
      <c r="B29" s="27" t="s">
        <v>106</v>
      </c>
      <c r="C29" s="26">
        <v>12434.849999999999</v>
      </c>
      <c r="D29" s="26" t="s">
        <v>107</v>
      </c>
    </row>
    <row r="30" spans="1:9" s="26" customFormat="1" ht="100.8" x14ac:dyDescent="0.3">
      <c r="A30" s="26">
        <v>26</v>
      </c>
      <c r="B30" s="27" t="s">
        <v>108</v>
      </c>
      <c r="C30" s="26">
        <v>14123.4</v>
      </c>
      <c r="D30" s="26" t="s">
        <v>107</v>
      </c>
    </row>
    <row r="31" spans="1:9" s="26" customFormat="1" ht="57.6" x14ac:dyDescent="0.3">
      <c r="A31" s="26">
        <v>27</v>
      </c>
      <c r="B31" s="27" t="s">
        <v>109</v>
      </c>
      <c r="C31" s="26">
        <v>8823.0999999999985</v>
      </c>
      <c r="D31" s="26" t="s">
        <v>110</v>
      </c>
    </row>
    <row r="32" spans="1:9" s="26" customFormat="1" x14ac:dyDescent="0.3">
      <c r="A32" s="26">
        <v>28</v>
      </c>
      <c r="B32" s="27" t="s">
        <v>111</v>
      </c>
      <c r="C32" s="26">
        <v>191.75</v>
      </c>
      <c r="D32" s="26" t="s">
        <v>48</v>
      </c>
    </row>
    <row r="33" spans="1:4" s="26" customFormat="1" ht="28.8" x14ac:dyDescent="0.3">
      <c r="A33" s="26">
        <v>29</v>
      </c>
      <c r="B33" s="27" t="s">
        <v>112</v>
      </c>
      <c r="C33" s="26">
        <v>201.4</v>
      </c>
      <c r="D33" s="26" t="s">
        <v>113</v>
      </c>
    </row>
    <row r="34" spans="1:4" s="26" customFormat="1" ht="72" x14ac:dyDescent="0.3">
      <c r="A34" s="26">
        <v>30</v>
      </c>
      <c r="B34" s="27" t="s">
        <v>114</v>
      </c>
      <c r="C34" s="26">
        <v>637.25</v>
      </c>
      <c r="D34" s="26" t="s">
        <v>113</v>
      </c>
    </row>
    <row r="35" spans="1:4" s="26" customFormat="1" x14ac:dyDescent="0.3">
      <c r="A35" s="26">
        <v>31</v>
      </c>
      <c r="B35" s="27" t="s">
        <v>115</v>
      </c>
      <c r="C35" s="26">
        <v>63.7</v>
      </c>
      <c r="D35" s="26" t="s">
        <v>113</v>
      </c>
    </row>
    <row r="36" spans="1:4" s="26" customFormat="1" x14ac:dyDescent="0.3">
      <c r="A36" s="26">
        <v>32</v>
      </c>
      <c r="B36" s="27" t="s">
        <v>116</v>
      </c>
      <c r="C36" s="26">
        <v>149.14999999999998</v>
      </c>
      <c r="D36" s="26" t="s">
        <v>117</v>
      </c>
    </row>
    <row r="37" spans="1:4" s="26" customFormat="1" ht="28.8" x14ac:dyDescent="0.3">
      <c r="A37" s="26">
        <v>33</v>
      </c>
      <c r="B37" s="27" t="s">
        <v>118</v>
      </c>
      <c r="C37" s="26">
        <v>596.35</v>
      </c>
      <c r="D37" s="26" t="s">
        <v>117</v>
      </c>
    </row>
    <row r="38" spans="1:4" s="26" customFormat="1" ht="28.8" x14ac:dyDescent="0.3">
      <c r="A38" s="26">
        <v>34</v>
      </c>
      <c r="B38" s="27" t="s">
        <v>119</v>
      </c>
      <c r="C38" s="26">
        <v>616.04999999999995</v>
      </c>
      <c r="D38" s="26" t="s">
        <v>117</v>
      </c>
    </row>
    <row r="39" spans="1:4" s="26" customFormat="1" ht="28.8" x14ac:dyDescent="0.3">
      <c r="A39" s="26">
        <v>35</v>
      </c>
      <c r="B39" s="27" t="s">
        <v>120</v>
      </c>
      <c r="C39" s="26">
        <v>470.3</v>
      </c>
      <c r="D39" s="26" t="s">
        <v>117</v>
      </c>
    </row>
    <row r="40" spans="1:4" s="26" customFormat="1" ht="43.2" x14ac:dyDescent="0.3">
      <c r="A40" s="26">
        <v>36</v>
      </c>
      <c r="B40" s="27" t="s">
        <v>121</v>
      </c>
      <c r="C40" s="26">
        <v>768.94999999999993</v>
      </c>
      <c r="D40" s="26" t="s">
        <v>113</v>
      </c>
    </row>
    <row r="41" spans="1:4" s="26" customFormat="1" ht="43.2" x14ac:dyDescent="0.3">
      <c r="A41" s="26">
        <v>37</v>
      </c>
      <c r="B41" s="27" t="s">
        <v>122</v>
      </c>
      <c r="C41" s="26">
        <v>1006.55</v>
      </c>
      <c r="D41" s="26" t="s">
        <v>48</v>
      </c>
    </row>
    <row r="42" spans="1:4" s="26" customFormat="1" ht="57.6" x14ac:dyDescent="0.3">
      <c r="A42" s="26">
        <v>38</v>
      </c>
      <c r="B42" s="27" t="s">
        <v>123</v>
      </c>
      <c r="C42" s="26">
        <v>1837.5</v>
      </c>
      <c r="D42" s="26" t="s">
        <v>113</v>
      </c>
    </row>
    <row r="43" spans="1:4" s="26" customFormat="1" ht="43.2" x14ac:dyDescent="0.3">
      <c r="A43" s="26">
        <v>39</v>
      </c>
      <c r="B43" s="27" t="s">
        <v>124</v>
      </c>
      <c r="C43" s="26">
        <v>5048.3499999999995</v>
      </c>
      <c r="D43" s="26" t="s">
        <v>117</v>
      </c>
    </row>
    <row r="44" spans="1:4" s="26" customFormat="1" ht="43.2" x14ac:dyDescent="0.3">
      <c r="A44" s="26">
        <v>40</v>
      </c>
      <c r="B44" s="27" t="s">
        <v>125</v>
      </c>
      <c r="C44" s="26">
        <v>10918.4</v>
      </c>
      <c r="D44" s="26" t="s">
        <v>117</v>
      </c>
    </row>
    <row r="45" spans="1:4" s="26" customFormat="1" ht="28.8" x14ac:dyDescent="0.3">
      <c r="A45" s="26">
        <v>41</v>
      </c>
      <c r="B45" s="27" t="s">
        <v>126</v>
      </c>
      <c r="C45" s="26">
        <v>841.59999999999991</v>
      </c>
      <c r="D45" s="26" t="s">
        <v>117</v>
      </c>
    </row>
    <row r="46" spans="1:4" s="26" customFormat="1" ht="28.8" x14ac:dyDescent="0.3">
      <c r="A46" s="26">
        <v>42</v>
      </c>
      <c r="B46" s="27" t="s">
        <v>127</v>
      </c>
      <c r="C46" s="26">
        <v>952.2</v>
      </c>
      <c r="D46" s="26" t="s">
        <v>117</v>
      </c>
    </row>
    <row r="47" spans="1:4" s="26" customFormat="1" ht="57.6" x14ac:dyDescent="0.3">
      <c r="A47" s="26">
        <v>43</v>
      </c>
      <c r="B47" s="27" t="s">
        <v>128</v>
      </c>
      <c r="C47" s="26">
        <v>1210.1500000000001</v>
      </c>
      <c r="D47" s="26" t="s">
        <v>113</v>
      </c>
    </row>
    <row r="48" spans="1:4" s="26" customFormat="1" ht="28.8" x14ac:dyDescent="0.3">
      <c r="A48" s="26">
        <v>44</v>
      </c>
      <c r="B48" s="27" t="s">
        <v>129</v>
      </c>
      <c r="C48" s="26">
        <v>2850.05</v>
      </c>
      <c r="D48" s="26" t="s">
        <v>48</v>
      </c>
    </row>
    <row r="49" spans="1:4" s="26" customFormat="1" ht="43.2" x14ac:dyDescent="0.3">
      <c r="A49" s="26">
        <v>45</v>
      </c>
      <c r="B49" s="27" t="s">
        <v>130</v>
      </c>
      <c r="C49" s="26">
        <v>176444.1</v>
      </c>
      <c r="D49" s="26" t="s">
        <v>10</v>
      </c>
    </row>
    <row r="50" spans="1:4" s="26" customFormat="1" ht="43.2" x14ac:dyDescent="0.3">
      <c r="A50" s="26">
        <v>46</v>
      </c>
      <c r="B50" s="27" t="s">
        <v>131</v>
      </c>
      <c r="C50" s="26">
        <v>94472.8</v>
      </c>
      <c r="D50" s="26" t="s">
        <v>10</v>
      </c>
    </row>
    <row r="51" spans="1:4" s="26" customFormat="1" ht="43.2" x14ac:dyDescent="0.3">
      <c r="A51" s="26">
        <v>47</v>
      </c>
      <c r="B51" s="27" t="s">
        <v>132</v>
      </c>
      <c r="C51" s="26">
        <v>1763.1</v>
      </c>
      <c r="D51" s="26" t="s">
        <v>117</v>
      </c>
    </row>
    <row r="52" spans="1:4" s="26" customFormat="1" ht="43.2" x14ac:dyDescent="0.3">
      <c r="A52" s="26">
        <v>48</v>
      </c>
      <c r="B52" s="27" t="s">
        <v>133</v>
      </c>
      <c r="C52" s="26">
        <v>1543.5</v>
      </c>
      <c r="D52" s="26" t="s">
        <v>117</v>
      </c>
    </row>
    <row r="53" spans="1:4" s="26" customFormat="1" ht="57.6" x14ac:dyDescent="0.3">
      <c r="A53" s="26">
        <v>49</v>
      </c>
      <c r="B53" s="27" t="s">
        <v>134</v>
      </c>
      <c r="C53" s="26">
        <v>1044.7</v>
      </c>
      <c r="D53" s="26" t="s">
        <v>135</v>
      </c>
    </row>
    <row r="54" spans="1:4" s="26" customFormat="1" ht="57.6" x14ac:dyDescent="0.3">
      <c r="A54" s="26">
        <v>50</v>
      </c>
      <c r="B54" s="27" t="s">
        <v>136</v>
      </c>
      <c r="C54" s="26">
        <v>2013.6000000000001</v>
      </c>
      <c r="D54" s="26" t="s">
        <v>137</v>
      </c>
    </row>
    <row r="55" spans="1:4" s="26" customFormat="1" ht="43.2" x14ac:dyDescent="0.3">
      <c r="A55" s="26">
        <v>51</v>
      </c>
      <c r="B55" s="27" t="s">
        <v>138</v>
      </c>
      <c r="C55" s="26">
        <v>4237.1499999999996</v>
      </c>
      <c r="D55" s="26" t="s">
        <v>117</v>
      </c>
    </row>
    <row r="56" spans="1:4" s="26" customFormat="1" ht="57.6" x14ac:dyDescent="0.3">
      <c r="A56" s="26">
        <v>52</v>
      </c>
      <c r="B56" s="27" t="s">
        <v>139</v>
      </c>
      <c r="C56" s="26">
        <v>8416.0499999999993</v>
      </c>
      <c r="D56" s="26" t="s">
        <v>117</v>
      </c>
    </row>
    <row r="57" spans="1:4" s="26" customFormat="1" ht="43.2" x14ac:dyDescent="0.3">
      <c r="A57" s="26">
        <v>53</v>
      </c>
      <c r="B57" s="27" t="s">
        <v>348</v>
      </c>
      <c r="C57" s="26">
        <v>2854.74</v>
      </c>
      <c r="D57" s="26" t="s">
        <v>113</v>
      </c>
    </row>
    <row r="58" spans="1:4" s="26" customFormat="1" ht="72" x14ac:dyDescent="0.3">
      <c r="A58" s="26">
        <v>54</v>
      </c>
      <c r="B58" s="27" t="s">
        <v>140</v>
      </c>
      <c r="C58" s="26">
        <v>6470.3499999999995</v>
      </c>
      <c r="D58" s="26" t="s">
        <v>113</v>
      </c>
    </row>
    <row r="59" spans="1:4" s="26" customFormat="1" ht="28.8" x14ac:dyDescent="0.3">
      <c r="A59" s="26">
        <v>55</v>
      </c>
      <c r="B59" s="27" t="s">
        <v>141</v>
      </c>
      <c r="C59" s="26">
        <v>2873.55</v>
      </c>
      <c r="D59" s="26" t="s">
        <v>113</v>
      </c>
    </row>
    <row r="60" spans="1:4" s="26" customFormat="1" x14ac:dyDescent="0.3">
      <c r="A60" s="26">
        <v>56</v>
      </c>
      <c r="B60" s="27" t="s">
        <v>142</v>
      </c>
      <c r="C60" s="26">
        <v>2751.65</v>
      </c>
      <c r="D60" s="26" t="s">
        <v>117</v>
      </c>
    </row>
    <row r="61" spans="1:4" s="26" customFormat="1" ht="100.8" x14ac:dyDescent="0.3">
      <c r="A61" s="26">
        <v>57</v>
      </c>
      <c r="B61" s="27" t="s">
        <v>143</v>
      </c>
      <c r="C61" s="26">
        <v>3537.7</v>
      </c>
      <c r="D61" s="26" t="s">
        <v>117</v>
      </c>
    </row>
    <row r="62" spans="1:4" s="26" customFormat="1" ht="43.2" x14ac:dyDescent="0.3">
      <c r="A62" s="26">
        <v>58</v>
      </c>
      <c r="B62" s="27" t="s">
        <v>144</v>
      </c>
      <c r="C62" s="26">
        <v>1257.3499999999999</v>
      </c>
      <c r="D62" s="26" t="s">
        <v>48</v>
      </c>
    </row>
    <row r="63" spans="1:4" s="26" customFormat="1" ht="43.2" x14ac:dyDescent="0.3">
      <c r="A63" s="26">
        <v>59</v>
      </c>
      <c r="B63" s="27" t="s">
        <v>145</v>
      </c>
      <c r="C63" s="26">
        <v>1671.9</v>
      </c>
      <c r="D63" s="26" t="s">
        <v>117</v>
      </c>
    </row>
    <row r="64" spans="1:4" s="26" customFormat="1" x14ac:dyDescent="0.3">
      <c r="A64" s="26">
        <v>60</v>
      </c>
      <c r="B64" s="27" t="s">
        <v>146</v>
      </c>
      <c r="C64" s="26">
        <v>978.05000000000007</v>
      </c>
      <c r="D64" s="26" t="s">
        <v>113</v>
      </c>
    </row>
    <row r="65" spans="1:4" s="26" customFormat="1" ht="43.2" x14ac:dyDescent="0.3">
      <c r="A65" s="26">
        <v>61</v>
      </c>
      <c r="B65" s="27" t="s">
        <v>147</v>
      </c>
      <c r="C65" s="26">
        <v>4580.25</v>
      </c>
      <c r="D65" s="26" t="s">
        <v>48</v>
      </c>
    </row>
    <row r="66" spans="1:4" s="26" customFormat="1" x14ac:dyDescent="0.3">
      <c r="A66" s="26">
        <v>62</v>
      </c>
      <c r="B66" s="27" t="s">
        <v>341</v>
      </c>
      <c r="C66" s="26">
        <v>1870.35</v>
      </c>
      <c r="D66" s="26" t="s">
        <v>349</v>
      </c>
    </row>
    <row r="67" spans="1:4" s="26" customFormat="1" ht="43.2" x14ac:dyDescent="0.3">
      <c r="A67" s="26">
        <v>63</v>
      </c>
      <c r="B67" s="27" t="s">
        <v>148</v>
      </c>
      <c r="C67" s="26">
        <v>1509.9</v>
      </c>
      <c r="D67" s="26" t="s">
        <v>117</v>
      </c>
    </row>
    <row r="68" spans="1:4" s="26" customFormat="1" ht="72" x14ac:dyDescent="0.3">
      <c r="A68" s="26">
        <v>64</v>
      </c>
      <c r="B68" s="27" t="s">
        <v>149</v>
      </c>
      <c r="C68" s="26">
        <v>9612.584499999999</v>
      </c>
      <c r="D68" s="26" t="s">
        <v>150</v>
      </c>
    </row>
    <row r="69" spans="1:4" s="26" customFormat="1" ht="72" x14ac:dyDescent="0.3">
      <c r="A69" s="26">
        <v>65</v>
      </c>
      <c r="B69" s="27" t="s">
        <v>350</v>
      </c>
      <c r="C69" s="26">
        <v>2354</v>
      </c>
      <c r="D69" s="26" t="s">
        <v>48</v>
      </c>
    </row>
    <row r="70" spans="1:4" s="26" customFormat="1" ht="43.2" x14ac:dyDescent="0.3">
      <c r="A70" s="26">
        <v>66</v>
      </c>
      <c r="B70" s="27" t="s">
        <v>151</v>
      </c>
      <c r="C70" s="26">
        <v>435.7</v>
      </c>
      <c r="D70" s="26" t="s">
        <v>152</v>
      </c>
    </row>
    <row r="71" spans="1:4" s="26" customFormat="1" ht="43.2" x14ac:dyDescent="0.3">
      <c r="A71" s="26">
        <v>67</v>
      </c>
      <c r="B71" s="27" t="s">
        <v>153</v>
      </c>
      <c r="C71" s="26">
        <v>297.25</v>
      </c>
      <c r="D71" s="26" t="s">
        <v>152</v>
      </c>
    </row>
    <row r="72" spans="1:4" s="26" customFormat="1" ht="28.8" x14ac:dyDescent="0.3">
      <c r="A72" s="26">
        <v>68</v>
      </c>
      <c r="B72" s="27" t="s">
        <v>154</v>
      </c>
      <c r="C72" s="26">
        <v>56662.35</v>
      </c>
      <c r="D72" s="26" t="s">
        <v>107</v>
      </c>
    </row>
    <row r="73" spans="1:4" s="26" customFormat="1" ht="43.2" x14ac:dyDescent="0.3">
      <c r="A73" s="26">
        <v>69</v>
      </c>
      <c r="B73" s="27" t="s">
        <v>155</v>
      </c>
      <c r="C73" s="26">
        <v>129724.55</v>
      </c>
      <c r="D73" s="26" t="s">
        <v>107</v>
      </c>
    </row>
    <row r="74" spans="1:4" s="26" customFormat="1" ht="43.2" x14ac:dyDescent="0.3">
      <c r="A74" s="26">
        <v>70</v>
      </c>
      <c r="B74" s="27" t="s">
        <v>156</v>
      </c>
      <c r="C74" s="26">
        <v>66628.05</v>
      </c>
      <c r="D74" s="26" t="s">
        <v>107</v>
      </c>
    </row>
    <row r="75" spans="1:4" s="26" customFormat="1" x14ac:dyDescent="0.3">
      <c r="A75" s="26">
        <v>71</v>
      </c>
      <c r="B75" s="27" t="s">
        <v>157</v>
      </c>
      <c r="C75" s="26">
        <v>511.95</v>
      </c>
      <c r="D75" s="26" t="s">
        <v>152</v>
      </c>
    </row>
    <row r="76" spans="1:4" s="26" customFormat="1" ht="43.2" x14ac:dyDescent="0.3">
      <c r="A76" s="26">
        <v>72</v>
      </c>
      <c r="B76" s="27" t="s">
        <v>158</v>
      </c>
      <c r="C76" s="26">
        <v>755.40000000000009</v>
      </c>
      <c r="D76" s="26" t="s">
        <v>113</v>
      </c>
    </row>
    <row r="77" spans="1:4" s="26" customFormat="1" ht="43.2" x14ac:dyDescent="0.3">
      <c r="A77" s="26">
        <v>73</v>
      </c>
      <c r="B77" s="27" t="s">
        <v>159</v>
      </c>
      <c r="C77" s="26">
        <v>848.5</v>
      </c>
      <c r="D77" s="26" t="s">
        <v>113</v>
      </c>
    </row>
    <row r="78" spans="1:4" s="26" customFormat="1" ht="43.2" x14ac:dyDescent="0.3">
      <c r="A78" s="26">
        <v>74</v>
      </c>
      <c r="B78" s="27" t="s">
        <v>160</v>
      </c>
      <c r="C78" s="26">
        <v>1197.3999999999999</v>
      </c>
      <c r="D78" s="26" t="s">
        <v>48</v>
      </c>
    </row>
    <row r="79" spans="1:4" s="26" customFormat="1" ht="43.2" x14ac:dyDescent="0.3">
      <c r="A79" s="26">
        <v>75</v>
      </c>
      <c r="B79" s="27" t="s">
        <v>161</v>
      </c>
      <c r="C79" s="26">
        <v>1268.95</v>
      </c>
      <c r="D79" s="26" t="s">
        <v>113</v>
      </c>
    </row>
    <row r="80" spans="1:4" s="26" customFormat="1" ht="43.2" x14ac:dyDescent="0.3">
      <c r="A80" s="26">
        <v>76</v>
      </c>
      <c r="B80" s="27" t="s">
        <v>162</v>
      </c>
      <c r="C80" s="26">
        <v>1239.55</v>
      </c>
      <c r="D80" s="26" t="s">
        <v>113</v>
      </c>
    </row>
    <row r="81" spans="1:4" s="26" customFormat="1" ht="57.6" x14ac:dyDescent="0.3">
      <c r="A81" s="26">
        <v>77</v>
      </c>
      <c r="B81" s="27" t="s">
        <v>163</v>
      </c>
      <c r="C81" s="26">
        <v>560.65</v>
      </c>
      <c r="D81" s="26" t="s">
        <v>113</v>
      </c>
    </row>
    <row r="82" spans="1:4" s="26" customFormat="1" ht="43.2" x14ac:dyDescent="0.3">
      <c r="A82" s="26">
        <v>78</v>
      </c>
      <c r="B82" s="27" t="s">
        <v>351</v>
      </c>
      <c r="C82" s="26">
        <v>1149.8999999999999</v>
      </c>
      <c r="D82" s="26" t="s">
        <v>113</v>
      </c>
    </row>
    <row r="83" spans="1:4" s="26" customFormat="1" ht="57.6" x14ac:dyDescent="0.3">
      <c r="A83" s="26">
        <v>79</v>
      </c>
      <c r="B83" s="27" t="s">
        <v>164</v>
      </c>
      <c r="C83" s="26">
        <v>1193.45</v>
      </c>
      <c r="D83" s="26" t="s">
        <v>48</v>
      </c>
    </row>
    <row r="84" spans="1:4" s="26" customFormat="1" ht="57.6" x14ac:dyDescent="0.3">
      <c r="A84" s="26">
        <v>80</v>
      </c>
      <c r="B84" s="27" t="s">
        <v>165</v>
      </c>
      <c r="C84" s="26">
        <v>1266.9499999999998</v>
      </c>
      <c r="D84" s="26" t="s">
        <v>113</v>
      </c>
    </row>
    <row r="85" spans="1:4" s="26" customFormat="1" ht="43.2" x14ac:dyDescent="0.3">
      <c r="A85" s="26">
        <v>81</v>
      </c>
      <c r="B85" s="27" t="s">
        <v>166</v>
      </c>
      <c r="C85" s="26">
        <v>7.8500000000000005</v>
      </c>
      <c r="D85" s="26" t="s">
        <v>113</v>
      </c>
    </row>
    <row r="86" spans="1:4" s="26" customFormat="1" ht="28.8" x14ac:dyDescent="0.3">
      <c r="A86" s="26">
        <v>82</v>
      </c>
      <c r="B86" s="27" t="s">
        <v>167</v>
      </c>
      <c r="C86" s="26">
        <v>18.600000000000001</v>
      </c>
      <c r="D86" s="26" t="s">
        <v>113</v>
      </c>
    </row>
    <row r="87" spans="1:4" s="26" customFormat="1" ht="43.2" x14ac:dyDescent="0.3">
      <c r="A87" s="26">
        <v>83</v>
      </c>
      <c r="B87" s="27" t="s">
        <v>168</v>
      </c>
      <c r="C87" s="26">
        <v>47.05</v>
      </c>
      <c r="D87" s="26" t="s">
        <v>113</v>
      </c>
    </row>
    <row r="88" spans="1:4" s="26" customFormat="1" ht="43.2" x14ac:dyDescent="0.3">
      <c r="A88" s="26">
        <v>84</v>
      </c>
      <c r="B88" s="27" t="s">
        <v>169</v>
      </c>
      <c r="C88" s="26">
        <v>77.400000000000006</v>
      </c>
      <c r="D88" s="26" t="s">
        <v>113</v>
      </c>
    </row>
    <row r="89" spans="1:4" s="26" customFormat="1" ht="43.2" x14ac:dyDescent="0.3">
      <c r="A89" s="26">
        <v>85</v>
      </c>
      <c r="B89" s="27" t="s">
        <v>170</v>
      </c>
      <c r="C89" s="26">
        <v>87.2</v>
      </c>
      <c r="D89" s="26" t="s">
        <v>113</v>
      </c>
    </row>
    <row r="90" spans="1:4" s="26" customFormat="1" ht="43.2" x14ac:dyDescent="0.3">
      <c r="A90" s="26">
        <v>86</v>
      </c>
      <c r="B90" s="27" t="s">
        <v>171</v>
      </c>
      <c r="C90" s="26">
        <v>78.400000000000006</v>
      </c>
      <c r="D90" s="26" t="s">
        <v>48</v>
      </c>
    </row>
    <row r="91" spans="1:4" s="26" customFormat="1" ht="28.8" x14ac:dyDescent="0.3">
      <c r="A91" s="26">
        <v>87</v>
      </c>
      <c r="B91" s="27" t="s">
        <v>172</v>
      </c>
      <c r="C91" s="26">
        <v>236.18</v>
      </c>
      <c r="D91" s="26" t="s">
        <v>48</v>
      </c>
    </row>
    <row r="92" spans="1:4" s="26" customFormat="1" ht="28.8" x14ac:dyDescent="0.3">
      <c r="A92" s="26">
        <v>88</v>
      </c>
      <c r="B92" s="27" t="s">
        <v>173</v>
      </c>
      <c r="C92" s="26">
        <v>1094.5</v>
      </c>
      <c r="D92" s="26" t="s">
        <v>48</v>
      </c>
    </row>
    <row r="93" spans="1:4" s="26" customFormat="1" ht="43.2" x14ac:dyDescent="0.3">
      <c r="A93" s="26">
        <v>89</v>
      </c>
      <c r="B93" s="27" t="s">
        <v>174</v>
      </c>
      <c r="C93" s="26">
        <v>1228.8</v>
      </c>
      <c r="D93" s="26" t="s">
        <v>48</v>
      </c>
    </row>
    <row r="94" spans="1:4" s="26" customFormat="1" ht="43.2" x14ac:dyDescent="0.3">
      <c r="A94" s="26">
        <v>90</v>
      </c>
      <c r="B94" s="27" t="s">
        <v>175</v>
      </c>
    </row>
    <row r="95" spans="1:4" s="26" customFormat="1" x14ac:dyDescent="0.3">
      <c r="A95" s="26">
        <v>90.1</v>
      </c>
      <c r="B95" s="27" t="s">
        <v>176</v>
      </c>
      <c r="C95" s="26">
        <v>267.55</v>
      </c>
      <c r="D95" s="26" t="s">
        <v>135</v>
      </c>
    </row>
    <row r="96" spans="1:4" s="26" customFormat="1" x14ac:dyDescent="0.3">
      <c r="A96" s="26">
        <v>90.2</v>
      </c>
      <c r="B96" s="27" t="s">
        <v>177</v>
      </c>
      <c r="C96" s="26">
        <v>304.8</v>
      </c>
      <c r="D96" s="26" t="s">
        <v>135</v>
      </c>
    </row>
    <row r="97" spans="1:4" s="26" customFormat="1" x14ac:dyDescent="0.3">
      <c r="A97" s="26">
        <v>90.3</v>
      </c>
      <c r="B97" s="27" t="s">
        <v>178</v>
      </c>
      <c r="C97" s="26">
        <v>414.54999999999995</v>
      </c>
      <c r="D97" s="26" t="s">
        <v>135</v>
      </c>
    </row>
    <row r="98" spans="1:4" s="26" customFormat="1" ht="43.2" x14ac:dyDescent="0.3">
      <c r="A98" s="26">
        <v>91</v>
      </c>
      <c r="B98" s="27" t="s">
        <v>179</v>
      </c>
      <c r="C98" s="26">
        <v>3926.85</v>
      </c>
      <c r="D98" s="26" t="s">
        <v>180</v>
      </c>
    </row>
    <row r="99" spans="1:4" s="26" customFormat="1" ht="115.2" x14ac:dyDescent="0.3">
      <c r="A99" s="26">
        <v>92</v>
      </c>
      <c r="B99" s="27" t="s">
        <v>181</v>
      </c>
      <c r="C99" s="26">
        <v>2265.3000000000002</v>
      </c>
      <c r="D99" s="26" t="s">
        <v>152</v>
      </c>
    </row>
    <row r="100" spans="1:4" s="26" customFormat="1" ht="28.8" x14ac:dyDescent="0.3">
      <c r="A100" s="26">
        <v>93</v>
      </c>
      <c r="B100" s="27" t="s">
        <v>182</v>
      </c>
      <c r="C100" s="26">
        <v>26.45</v>
      </c>
      <c r="D100" s="26" t="s">
        <v>117</v>
      </c>
    </row>
    <row r="101" spans="1:4" s="26" customFormat="1" ht="28.8" x14ac:dyDescent="0.3">
      <c r="A101" s="26">
        <v>94</v>
      </c>
      <c r="B101" s="27" t="s">
        <v>183</v>
      </c>
      <c r="C101" s="26">
        <v>19502</v>
      </c>
      <c r="D101" s="26" t="s">
        <v>180</v>
      </c>
    </row>
    <row r="102" spans="1:4" s="26" customFormat="1" x14ac:dyDescent="0.3">
      <c r="A102" s="26">
        <v>95</v>
      </c>
      <c r="B102" s="27" t="s">
        <v>184</v>
      </c>
    </row>
    <row r="103" spans="1:4" s="26" customFormat="1" x14ac:dyDescent="0.3">
      <c r="A103" s="26">
        <v>95.1</v>
      </c>
      <c r="B103" s="27" t="s">
        <v>185</v>
      </c>
      <c r="C103" s="26">
        <v>489.06</v>
      </c>
      <c r="D103" s="26" t="s">
        <v>186</v>
      </c>
    </row>
    <row r="104" spans="1:4" s="26" customFormat="1" x14ac:dyDescent="0.3">
      <c r="A104" s="26">
        <v>95.2</v>
      </c>
      <c r="B104" s="27" t="s">
        <v>187</v>
      </c>
      <c r="C104" s="26">
        <v>554.4</v>
      </c>
      <c r="D104" s="26" t="s">
        <v>186</v>
      </c>
    </row>
    <row r="105" spans="1:4" s="26" customFormat="1" ht="28.8" x14ac:dyDescent="0.3">
      <c r="A105" s="26">
        <v>96</v>
      </c>
      <c r="B105" s="27" t="s">
        <v>188</v>
      </c>
      <c r="C105" s="26">
        <v>27.15</v>
      </c>
      <c r="D105" s="26" t="s">
        <v>189</v>
      </c>
    </row>
    <row r="106" spans="1:4" s="26" customFormat="1" ht="43.2" x14ac:dyDescent="0.3">
      <c r="A106" s="26">
        <v>97</v>
      </c>
      <c r="B106" s="27" t="s">
        <v>190</v>
      </c>
      <c r="C106" s="26">
        <v>2976.7000000000003</v>
      </c>
      <c r="D106" s="26" t="s">
        <v>48</v>
      </c>
    </row>
    <row r="107" spans="1:4" s="26" customFormat="1" ht="43.2" x14ac:dyDescent="0.3">
      <c r="A107" s="26">
        <v>98</v>
      </c>
      <c r="B107" s="27" t="s">
        <v>191</v>
      </c>
      <c r="C107" s="26">
        <v>1166</v>
      </c>
      <c r="D107" s="26" t="s">
        <v>48</v>
      </c>
    </row>
    <row r="108" spans="1:4" s="26" customFormat="1" ht="43.2" x14ac:dyDescent="0.3">
      <c r="A108" s="26">
        <v>99</v>
      </c>
      <c r="B108" s="27" t="s">
        <v>192</v>
      </c>
      <c r="C108" s="26">
        <v>2088.1999999999998</v>
      </c>
      <c r="D108" s="26" t="s">
        <v>48</v>
      </c>
    </row>
    <row r="109" spans="1:4" s="26" customFormat="1" ht="43.2" x14ac:dyDescent="0.3">
      <c r="A109" s="26">
        <v>100</v>
      </c>
      <c r="B109" s="27" t="s">
        <v>193</v>
      </c>
      <c r="C109" s="26">
        <v>953.15</v>
      </c>
      <c r="D109" s="26" t="s">
        <v>48</v>
      </c>
    </row>
    <row r="110" spans="1:4" s="26" customFormat="1" ht="43.2" x14ac:dyDescent="0.3">
      <c r="A110" s="26">
        <v>101</v>
      </c>
      <c r="B110" s="27" t="s">
        <v>194</v>
      </c>
      <c r="C110" s="26">
        <v>7296.35</v>
      </c>
      <c r="D110" s="26" t="s">
        <v>48</v>
      </c>
    </row>
    <row r="111" spans="1:4" s="26" customFormat="1" x14ac:dyDescent="0.3">
      <c r="A111" s="26">
        <v>102</v>
      </c>
      <c r="B111" s="27" t="s">
        <v>195</v>
      </c>
      <c r="C111" s="26">
        <v>4864.2</v>
      </c>
      <c r="D111" s="26" t="s">
        <v>117</v>
      </c>
    </row>
    <row r="112" spans="1:4" s="26" customFormat="1" x14ac:dyDescent="0.3">
      <c r="A112" s="26">
        <v>103</v>
      </c>
      <c r="B112" s="27" t="s">
        <v>196</v>
      </c>
      <c r="C112" s="26">
        <v>10734.25</v>
      </c>
      <c r="D112" s="26" t="s">
        <v>117</v>
      </c>
    </row>
    <row r="113" spans="1:4" s="26" customFormat="1" ht="57.6" x14ac:dyDescent="0.3">
      <c r="A113" s="26">
        <v>104</v>
      </c>
      <c r="B113" s="27" t="s">
        <v>197</v>
      </c>
      <c r="C113" s="26">
        <v>4707.9000000000005</v>
      </c>
      <c r="D113" s="26" t="s">
        <v>117</v>
      </c>
    </row>
    <row r="114" spans="1:4" s="26" customFormat="1" ht="43.2" x14ac:dyDescent="0.3">
      <c r="A114" s="26">
        <v>105</v>
      </c>
      <c r="B114" s="27" t="s">
        <v>130</v>
      </c>
      <c r="C114" s="26">
        <v>176444.1</v>
      </c>
      <c r="D114" s="26" t="s">
        <v>10</v>
      </c>
    </row>
    <row r="115" spans="1:4" s="26" customFormat="1" ht="57.6" x14ac:dyDescent="0.3">
      <c r="A115" s="26">
        <v>106</v>
      </c>
      <c r="B115" s="27" t="s">
        <v>198</v>
      </c>
      <c r="C115" s="26">
        <v>4824.95</v>
      </c>
      <c r="D115" s="26" t="s">
        <v>48</v>
      </c>
    </row>
    <row r="116" spans="1:4" s="26" customFormat="1" ht="57.6" x14ac:dyDescent="0.3">
      <c r="A116" s="26">
        <v>107</v>
      </c>
      <c r="B116" s="27" t="s">
        <v>342</v>
      </c>
      <c r="C116" s="26">
        <v>739.09999999999991</v>
      </c>
      <c r="D116" s="26" t="s">
        <v>135</v>
      </c>
    </row>
    <row r="117" spans="1:4" s="26" customFormat="1" ht="158.4" x14ac:dyDescent="0.3">
      <c r="A117" s="26">
        <v>108</v>
      </c>
      <c r="B117" s="27" t="s">
        <v>199</v>
      </c>
      <c r="C117" s="26">
        <v>4868.6499999999996</v>
      </c>
      <c r="D117" s="26" t="s">
        <v>113</v>
      </c>
    </row>
    <row r="118" spans="1:4" s="26" customFormat="1" ht="158.4" x14ac:dyDescent="0.3">
      <c r="A118" s="26">
        <v>109</v>
      </c>
      <c r="B118" s="27" t="s">
        <v>200</v>
      </c>
      <c r="C118" s="26">
        <v>4766.7</v>
      </c>
      <c r="D118" s="26" t="s">
        <v>113</v>
      </c>
    </row>
    <row r="119" spans="1:4" s="26" customFormat="1" x14ac:dyDescent="0.3">
      <c r="A119" s="26">
        <v>110</v>
      </c>
      <c r="B119" s="27" t="s">
        <v>201</v>
      </c>
      <c r="C119" s="26">
        <v>314.85000000000002</v>
      </c>
      <c r="D119" s="26" t="s">
        <v>152</v>
      </c>
    </row>
    <row r="120" spans="1:4" s="26" customFormat="1" ht="115.2" x14ac:dyDescent="0.3">
      <c r="A120" s="26">
        <v>111</v>
      </c>
      <c r="B120" s="27" t="s">
        <v>181</v>
      </c>
      <c r="C120" s="26">
        <v>1589.4499999999998</v>
      </c>
      <c r="D120" s="26" t="s">
        <v>152</v>
      </c>
    </row>
    <row r="121" spans="1:4" s="26" customFormat="1" x14ac:dyDescent="0.3">
      <c r="A121" s="26">
        <v>112</v>
      </c>
      <c r="B121" s="27" t="s">
        <v>202</v>
      </c>
      <c r="C121" s="26">
        <v>507.1</v>
      </c>
      <c r="D121" s="26" t="s">
        <v>113</v>
      </c>
    </row>
    <row r="122" spans="1:4" s="26" customFormat="1" ht="57.6" x14ac:dyDescent="0.3">
      <c r="A122" s="26">
        <v>113</v>
      </c>
      <c r="B122" s="27" t="s">
        <v>198</v>
      </c>
      <c r="C122" s="26">
        <v>4824.95</v>
      </c>
      <c r="D122" s="26" t="s">
        <v>48</v>
      </c>
    </row>
    <row r="123" spans="1:4" s="26" customFormat="1" ht="43.2" x14ac:dyDescent="0.3">
      <c r="A123" s="26">
        <v>114</v>
      </c>
      <c r="B123" s="27" t="s">
        <v>203</v>
      </c>
      <c r="C123" s="26">
        <v>562.75</v>
      </c>
      <c r="D123" s="26" t="s">
        <v>113</v>
      </c>
    </row>
    <row r="124" spans="1:4" s="26" customFormat="1" ht="28.8" x14ac:dyDescent="0.3">
      <c r="A124" s="26">
        <v>115</v>
      </c>
      <c r="B124" s="27" t="s">
        <v>204</v>
      </c>
      <c r="C124" s="26">
        <v>9.8000000000000007</v>
      </c>
      <c r="D124" s="26" t="s">
        <v>113</v>
      </c>
    </row>
    <row r="125" spans="1:4" s="26" customFormat="1" ht="43.2" x14ac:dyDescent="0.3">
      <c r="A125" s="26">
        <v>116</v>
      </c>
      <c r="B125" s="27" t="s">
        <v>205</v>
      </c>
      <c r="C125" s="26">
        <v>31.349999999999998</v>
      </c>
      <c r="D125" s="26" t="s">
        <v>113</v>
      </c>
    </row>
    <row r="126" spans="1:4" s="26" customFormat="1" x14ac:dyDescent="0.3">
      <c r="A126" s="26">
        <v>117</v>
      </c>
      <c r="B126" s="27" t="s">
        <v>343</v>
      </c>
      <c r="C126" s="26">
        <v>413.65000000000003</v>
      </c>
      <c r="D126" s="26" t="s">
        <v>48</v>
      </c>
    </row>
    <row r="127" spans="1:4" s="26" customFormat="1" ht="57.6" x14ac:dyDescent="0.3">
      <c r="A127" s="26">
        <v>118</v>
      </c>
      <c r="B127" s="27" t="s">
        <v>206</v>
      </c>
      <c r="C127" s="26">
        <v>97.899999999999991</v>
      </c>
      <c r="D127" s="26" t="s">
        <v>207</v>
      </c>
    </row>
    <row r="128" spans="1:4" s="26" customFormat="1" ht="57.6" x14ac:dyDescent="0.3">
      <c r="A128" s="26">
        <v>119</v>
      </c>
      <c r="B128" s="27" t="s">
        <v>208</v>
      </c>
      <c r="C128" s="26">
        <v>115.5</v>
      </c>
      <c r="D128" s="26" t="s">
        <v>207</v>
      </c>
    </row>
    <row r="129" spans="1:4" s="26" customFormat="1" ht="72" x14ac:dyDescent="0.3">
      <c r="A129" s="26">
        <v>120</v>
      </c>
      <c r="B129" s="27" t="s">
        <v>209</v>
      </c>
      <c r="C129" s="26">
        <v>6268.25</v>
      </c>
      <c r="D129" s="26" t="s">
        <v>207</v>
      </c>
    </row>
    <row r="130" spans="1:4" s="26" customFormat="1" ht="57.6" x14ac:dyDescent="0.3">
      <c r="A130" s="26">
        <v>121</v>
      </c>
      <c r="B130" s="27" t="s">
        <v>210</v>
      </c>
      <c r="C130" s="26">
        <v>7514.2</v>
      </c>
      <c r="D130" s="26" t="s">
        <v>150</v>
      </c>
    </row>
    <row r="131" spans="1:4" s="26" customFormat="1" ht="43.2" x14ac:dyDescent="0.3">
      <c r="A131" s="26">
        <v>122</v>
      </c>
      <c r="B131" s="27" t="s">
        <v>211</v>
      </c>
      <c r="C131" s="26">
        <v>160.04999999999998</v>
      </c>
      <c r="D131" s="26" t="s">
        <v>10</v>
      </c>
    </row>
    <row r="132" spans="1:4" s="26" customFormat="1" ht="86.4" x14ac:dyDescent="0.3">
      <c r="A132" s="26">
        <v>123</v>
      </c>
      <c r="B132" s="27" t="s">
        <v>212</v>
      </c>
    </row>
    <row r="133" spans="1:4" s="26" customFormat="1" x14ac:dyDescent="0.3">
      <c r="A133" s="26">
        <v>123.1</v>
      </c>
      <c r="B133" s="27" t="s">
        <v>213</v>
      </c>
      <c r="C133" s="26">
        <v>78.550000000000011</v>
      </c>
      <c r="D133" s="26" t="s">
        <v>135</v>
      </c>
    </row>
    <row r="134" spans="1:4" s="26" customFormat="1" x14ac:dyDescent="0.3">
      <c r="A134" s="26">
        <v>123.19999999999999</v>
      </c>
      <c r="B134" s="27" t="s">
        <v>214</v>
      </c>
      <c r="C134" s="26">
        <v>111.55</v>
      </c>
      <c r="D134" s="26" t="s">
        <v>135</v>
      </c>
    </row>
    <row r="135" spans="1:4" s="26" customFormat="1" x14ac:dyDescent="0.3">
      <c r="A135" s="26">
        <v>123.29999999999998</v>
      </c>
      <c r="B135" s="27" t="s">
        <v>215</v>
      </c>
      <c r="C135" s="26">
        <v>155.19999999999999</v>
      </c>
      <c r="D135" s="26" t="s">
        <v>135</v>
      </c>
    </row>
    <row r="136" spans="1:4" s="26" customFormat="1" ht="57.6" x14ac:dyDescent="0.3">
      <c r="A136" s="26">
        <v>124</v>
      </c>
      <c r="B136" s="27" t="s">
        <v>216</v>
      </c>
    </row>
    <row r="137" spans="1:4" s="26" customFormat="1" x14ac:dyDescent="0.3">
      <c r="A137" s="26">
        <v>124.1</v>
      </c>
      <c r="B137" s="27" t="s">
        <v>217</v>
      </c>
      <c r="C137" s="26">
        <v>21.349999999999998</v>
      </c>
      <c r="D137" s="26" t="s">
        <v>135</v>
      </c>
    </row>
    <row r="138" spans="1:4" s="26" customFormat="1" x14ac:dyDescent="0.3">
      <c r="A138" s="26">
        <v>124.19999999999999</v>
      </c>
      <c r="B138" s="27" t="s">
        <v>218</v>
      </c>
      <c r="C138" s="26">
        <v>27.15</v>
      </c>
      <c r="D138" s="26" t="s">
        <v>135</v>
      </c>
    </row>
    <row r="139" spans="1:4" s="26" customFormat="1" x14ac:dyDescent="0.3">
      <c r="A139" s="26">
        <v>124.29999999999998</v>
      </c>
      <c r="B139" s="27" t="s">
        <v>219</v>
      </c>
      <c r="C139" s="26">
        <v>33.949999999999996</v>
      </c>
      <c r="D139" s="26" t="s">
        <v>135</v>
      </c>
    </row>
    <row r="140" spans="1:4" s="26" customFormat="1" ht="28.8" x14ac:dyDescent="0.3">
      <c r="A140" s="26">
        <v>125</v>
      </c>
      <c r="B140" s="27" t="s">
        <v>220</v>
      </c>
      <c r="C140" s="26">
        <v>89.24</v>
      </c>
      <c r="D140" s="26" t="s">
        <v>10</v>
      </c>
    </row>
    <row r="141" spans="1:4" s="26" customFormat="1" ht="28.8" x14ac:dyDescent="0.3">
      <c r="A141" s="26">
        <v>126</v>
      </c>
      <c r="B141" s="27" t="s">
        <v>221</v>
      </c>
      <c r="C141" s="26">
        <v>347.70000000000005</v>
      </c>
      <c r="D141" s="26" t="s">
        <v>135</v>
      </c>
    </row>
    <row r="142" spans="1:4" ht="28.8" x14ac:dyDescent="0.3">
      <c r="A142">
        <v>127</v>
      </c>
      <c r="B142" s="28" t="s">
        <v>222</v>
      </c>
      <c r="C142">
        <v>900.34999999999991</v>
      </c>
      <c r="D142" t="s">
        <v>135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85874-3F20-4E64-9681-0B9A3D52935B}">
  <dimension ref="A1:B101"/>
  <sheetViews>
    <sheetView topLeftCell="A75" workbookViewId="0">
      <selection activeCell="H93" sqref="H93"/>
    </sheetView>
  </sheetViews>
  <sheetFormatPr defaultRowHeight="14.4" x14ac:dyDescent="0.3"/>
  <sheetData>
    <row r="1" spans="1:2" x14ac:dyDescent="0.3">
      <c r="A1" t="s">
        <v>223</v>
      </c>
    </row>
    <row r="2" spans="1:2" x14ac:dyDescent="0.3">
      <c r="A2">
        <v>1</v>
      </c>
      <c r="B2">
        <v>0.93500000000000005</v>
      </c>
    </row>
    <row r="3" spans="1:2" x14ac:dyDescent="0.3">
      <c r="A3">
        <v>2</v>
      </c>
      <c r="B3">
        <v>1.8080000000000001</v>
      </c>
    </row>
    <row r="4" spans="1:2" x14ac:dyDescent="0.3">
      <c r="A4">
        <v>3</v>
      </c>
      <c r="B4">
        <v>2.6240000000000001</v>
      </c>
    </row>
    <row r="5" spans="1:2" x14ac:dyDescent="0.3">
      <c r="A5">
        <v>4</v>
      </c>
      <c r="B5">
        <v>3.387</v>
      </c>
    </row>
    <row r="6" spans="1:2" x14ac:dyDescent="0.3">
      <c r="A6">
        <v>5</v>
      </c>
      <c r="B6">
        <v>4.0999999999999996</v>
      </c>
    </row>
    <row r="7" spans="1:2" x14ac:dyDescent="0.3">
      <c r="A7">
        <v>6</v>
      </c>
      <c r="B7">
        <v>4.7670000000000003</v>
      </c>
    </row>
    <row r="8" spans="1:2" x14ac:dyDescent="0.3">
      <c r="A8">
        <v>7</v>
      </c>
      <c r="B8">
        <v>5.3890000000000002</v>
      </c>
    </row>
    <row r="9" spans="1:2" x14ac:dyDescent="0.3">
      <c r="A9">
        <v>8</v>
      </c>
      <c r="B9">
        <v>5.9710000000000001</v>
      </c>
    </row>
    <row r="10" spans="1:2" x14ac:dyDescent="0.3">
      <c r="A10">
        <v>9</v>
      </c>
      <c r="B10">
        <v>6.5149999999999997</v>
      </c>
    </row>
    <row r="11" spans="1:2" x14ac:dyDescent="0.3">
      <c r="A11">
        <v>10</v>
      </c>
      <c r="B11">
        <v>7.024</v>
      </c>
    </row>
    <row r="12" spans="1:2" x14ac:dyDescent="0.3">
      <c r="A12">
        <v>11</v>
      </c>
      <c r="B12">
        <v>7.4989999999999997</v>
      </c>
    </row>
    <row r="13" spans="1:2" x14ac:dyDescent="0.3">
      <c r="A13">
        <v>12</v>
      </c>
      <c r="B13">
        <v>7.9429999999999996</v>
      </c>
    </row>
    <row r="14" spans="1:2" x14ac:dyDescent="0.3">
      <c r="A14">
        <v>13</v>
      </c>
      <c r="B14">
        <v>8.3580000000000005</v>
      </c>
    </row>
    <row r="15" spans="1:2" x14ac:dyDescent="0.3">
      <c r="A15">
        <v>14</v>
      </c>
      <c r="B15">
        <v>8.7449999999999992</v>
      </c>
    </row>
    <row r="16" spans="1:2" x14ac:dyDescent="0.3">
      <c r="A16">
        <v>15</v>
      </c>
      <c r="B16">
        <v>9.1080000000000005</v>
      </c>
    </row>
    <row r="17" spans="1:2" x14ac:dyDescent="0.3">
      <c r="A17">
        <v>16</v>
      </c>
      <c r="B17">
        <v>9.4469999999999992</v>
      </c>
    </row>
    <row r="18" spans="1:2" x14ac:dyDescent="0.3">
      <c r="A18">
        <v>17</v>
      </c>
      <c r="B18">
        <v>9.7629999999999999</v>
      </c>
    </row>
    <row r="19" spans="1:2" x14ac:dyDescent="0.3">
      <c r="A19">
        <v>18</v>
      </c>
      <c r="B19">
        <v>10.058999999999999</v>
      </c>
    </row>
    <row r="20" spans="1:2" x14ac:dyDescent="0.3">
      <c r="A20">
        <v>19</v>
      </c>
      <c r="B20">
        <v>10.336</v>
      </c>
    </row>
    <row r="21" spans="1:2" x14ac:dyDescent="0.3">
      <c r="A21">
        <v>20</v>
      </c>
      <c r="B21">
        <v>10.593999999999999</v>
      </c>
    </row>
    <row r="22" spans="1:2" x14ac:dyDescent="0.3">
      <c r="A22">
        <v>21</v>
      </c>
      <c r="B22">
        <v>10.836</v>
      </c>
    </row>
    <row r="23" spans="1:2" x14ac:dyDescent="0.3">
      <c r="A23">
        <v>22</v>
      </c>
      <c r="B23">
        <v>10.961</v>
      </c>
    </row>
    <row r="24" spans="1:2" x14ac:dyDescent="0.3">
      <c r="A24">
        <v>23</v>
      </c>
      <c r="B24">
        <v>11.272</v>
      </c>
    </row>
    <row r="25" spans="1:2" x14ac:dyDescent="0.3">
      <c r="A25">
        <v>24</v>
      </c>
      <c r="B25">
        <v>11.468999999999999</v>
      </c>
    </row>
    <row r="26" spans="1:2" x14ac:dyDescent="0.3">
      <c r="A26">
        <v>25</v>
      </c>
      <c r="B26">
        <v>11.654</v>
      </c>
    </row>
    <row r="27" spans="1:2" x14ac:dyDescent="0.3">
      <c r="A27">
        <v>26</v>
      </c>
      <c r="B27">
        <v>11.826000000000001</v>
      </c>
    </row>
    <row r="28" spans="1:2" x14ac:dyDescent="0.3">
      <c r="A28">
        <v>27</v>
      </c>
      <c r="B28">
        <v>11.987</v>
      </c>
    </row>
    <row r="29" spans="1:2" x14ac:dyDescent="0.3">
      <c r="A29">
        <v>28</v>
      </c>
      <c r="B29">
        <v>12.137</v>
      </c>
    </row>
    <row r="30" spans="1:2" x14ac:dyDescent="0.3">
      <c r="A30">
        <v>29</v>
      </c>
      <c r="B30">
        <v>12.278</v>
      </c>
    </row>
    <row r="31" spans="1:2" x14ac:dyDescent="0.3">
      <c r="A31">
        <v>30</v>
      </c>
      <c r="B31">
        <v>12.409000000000001</v>
      </c>
    </row>
    <row r="32" spans="1:2" x14ac:dyDescent="0.3">
      <c r="A32">
        <v>31</v>
      </c>
      <c r="B32">
        <v>12.532</v>
      </c>
    </row>
    <row r="33" spans="1:2" x14ac:dyDescent="0.3">
      <c r="A33">
        <v>32</v>
      </c>
      <c r="B33">
        <v>12.647</v>
      </c>
    </row>
    <row r="34" spans="1:2" x14ac:dyDescent="0.3">
      <c r="A34">
        <v>33</v>
      </c>
      <c r="B34">
        <v>12.754</v>
      </c>
    </row>
    <row r="35" spans="1:2" x14ac:dyDescent="0.3">
      <c r="A35">
        <v>34</v>
      </c>
      <c r="B35">
        <v>12.853999999999999</v>
      </c>
    </row>
    <row r="36" spans="1:2" x14ac:dyDescent="0.3">
      <c r="A36">
        <v>35</v>
      </c>
      <c r="B36">
        <v>12.948</v>
      </c>
    </row>
    <row r="37" spans="1:2" x14ac:dyDescent="0.3">
      <c r="A37">
        <v>36</v>
      </c>
      <c r="B37">
        <v>13.035</v>
      </c>
    </row>
    <row r="38" spans="1:2" x14ac:dyDescent="0.3">
      <c r="A38">
        <v>37</v>
      </c>
      <c r="B38">
        <v>13.117000000000001</v>
      </c>
    </row>
    <row r="39" spans="1:2" x14ac:dyDescent="0.3">
      <c r="A39">
        <v>38</v>
      </c>
      <c r="B39">
        <v>13.193</v>
      </c>
    </row>
    <row r="40" spans="1:2" x14ac:dyDescent="0.3">
      <c r="A40">
        <v>39</v>
      </c>
      <c r="B40">
        <v>13.265000000000001</v>
      </c>
    </row>
    <row r="41" spans="1:2" x14ac:dyDescent="0.3">
      <c r="A41">
        <v>40</v>
      </c>
      <c r="B41">
        <v>13.332000000000001</v>
      </c>
    </row>
    <row r="42" spans="1:2" x14ac:dyDescent="0.3">
      <c r="A42">
        <v>41</v>
      </c>
      <c r="B42">
        <v>13.394</v>
      </c>
    </row>
    <row r="43" spans="1:2" x14ac:dyDescent="0.3">
      <c r="A43">
        <v>42</v>
      </c>
      <c r="B43">
        <v>13.452</v>
      </c>
    </row>
    <row r="44" spans="1:2" x14ac:dyDescent="0.3">
      <c r="A44">
        <v>43</v>
      </c>
      <c r="B44">
        <v>13.507</v>
      </c>
    </row>
    <row r="45" spans="1:2" x14ac:dyDescent="0.3">
      <c r="A45">
        <v>44</v>
      </c>
      <c r="B45">
        <v>13.558</v>
      </c>
    </row>
    <row r="46" spans="1:2" x14ac:dyDescent="0.3">
      <c r="A46">
        <v>45</v>
      </c>
      <c r="B46">
        <v>13.606</v>
      </c>
    </row>
    <row r="47" spans="1:2" x14ac:dyDescent="0.3">
      <c r="A47">
        <v>46</v>
      </c>
      <c r="B47">
        <v>13.65</v>
      </c>
    </row>
    <row r="48" spans="1:2" x14ac:dyDescent="0.3">
      <c r="A48">
        <v>47</v>
      </c>
      <c r="B48">
        <v>13.692</v>
      </c>
    </row>
    <row r="49" spans="1:2" x14ac:dyDescent="0.3">
      <c r="A49">
        <v>48</v>
      </c>
      <c r="B49">
        <v>13.73</v>
      </c>
    </row>
    <row r="50" spans="1:2" x14ac:dyDescent="0.3">
      <c r="A50">
        <v>49</v>
      </c>
      <c r="B50">
        <v>13.766999999999999</v>
      </c>
    </row>
    <row r="51" spans="1:2" x14ac:dyDescent="0.3">
      <c r="A51">
        <v>50</v>
      </c>
      <c r="B51">
        <v>13.801</v>
      </c>
    </row>
    <row r="52" spans="1:2" x14ac:dyDescent="0.3">
      <c r="A52">
        <v>51</v>
      </c>
      <c r="B52">
        <v>13.832000000000001</v>
      </c>
    </row>
    <row r="53" spans="1:2" x14ac:dyDescent="0.3">
      <c r="A53">
        <v>52</v>
      </c>
      <c r="B53">
        <v>13.862</v>
      </c>
    </row>
    <row r="54" spans="1:2" x14ac:dyDescent="0.3">
      <c r="A54">
        <v>53</v>
      </c>
      <c r="B54">
        <v>13.89</v>
      </c>
    </row>
    <row r="55" spans="1:2" x14ac:dyDescent="0.3">
      <c r="A55">
        <v>54</v>
      </c>
      <c r="B55">
        <v>13.916</v>
      </c>
    </row>
    <row r="56" spans="1:2" x14ac:dyDescent="0.3">
      <c r="A56">
        <v>55</v>
      </c>
      <c r="B56">
        <v>13.94</v>
      </c>
    </row>
    <row r="57" spans="1:2" x14ac:dyDescent="0.3">
      <c r="A57">
        <v>56</v>
      </c>
      <c r="B57">
        <v>13.962999999999999</v>
      </c>
    </row>
    <row r="58" spans="1:2" x14ac:dyDescent="0.3">
      <c r="A58">
        <v>57</v>
      </c>
      <c r="B58">
        <v>13.984</v>
      </c>
    </row>
    <row r="59" spans="1:2" x14ac:dyDescent="0.3">
      <c r="A59">
        <v>58</v>
      </c>
      <c r="B59">
        <v>14.003</v>
      </c>
    </row>
    <row r="60" spans="1:2" x14ac:dyDescent="0.3">
      <c r="A60">
        <v>59</v>
      </c>
      <c r="B60">
        <v>14.022</v>
      </c>
    </row>
    <row r="61" spans="1:2" x14ac:dyDescent="0.3">
      <c r="A61">
        <v>60</v>
      </c>
      <c r="B61">
        <v>14.039</v>
      </c>
    </row>
    <row r="62" spans="1:2" x14ac:dyDescent="0.3">
      <c r="A62">
        <v>61</v>
      </c>
      <c r="B62">
        <v>14.055</v>
      </c>
    </row>
    <row r="63" spans="1:2" x14ac:dyDescent="0.3">
      <c r="A63">
        <v>62</v>
      </c>
      <c r="B63">
        <v>14.07</v>
      </c>
    </row>
    <row r="64" spans="1:2" x14ac:dyDescent="0.3">
      <c r="A64">
        <v>63</v>
      </c>
      <c r="B64">
        <v>14.084</v>
      </c>
    </row>
    <row r="65" spans="1:2" x14ac:dyDescent="0.3">
      <c r="A65">
        <v>64</v>
      </c>
      <c r="B65">
        <v>14.098000000000001</v>
      </c>
    </row>
    <row r="66" spans="1:2" x14ac:dyDescent="0.3">
      <c r="A66">
        <v>65</v>
      </c>
      <c r="B66">
        <v>14.11</v>
      </c>
    </row>
    <row r="67" spans="1:2" x14ac:dyDescent="0.3">
      <c r="A67">
        <v>66</v>
      </c>
      <c r="B67">
        <v>14.121</v>
      </c>
    </row>
    <row r="68" spans="1:2" x14ac:dyDescent="0.3">
      <c r="A68">
        <v>67</v>
      </c>
      <c r="B68">
        <v>14.132</v>
      </c>
    </row>
    <row r="69" spans="1:2" x14ac:dyDescent="0.3">
      <c r="A69">
        <v>68</v>
      </c>
      <c r="B69">
        <v>14.141999999999999</v>
      </c>
    </row>
    <row r="70" spans="1:2" x14ac:dyDescent="0.3">
      <c r="A70">
        <v>69</v>
      </c>
      <c r="B70">
        <v>14.151999999999999</v>
      </c>
    </row>
    <row r="71" spans="1:2" x14ac:dyDescent="0.3">
      <c r="A71">
        <v>70</v>
      </c>
      <c r="B71">
        <v>14.16</v>
      </c>
    </row>
    <row r="72" spans="1:2" x14ac:dyDescent="0.3">
      <c r="A72">
        <v>71</v>
      </c>
      <c r="B72">
        <v>14.169</v>
      </c>
    </row>
    <row r="73" spans="1:2" x14ac:dyDescent="0.3">
      <c r="A73">
        <v>72</v>
      </c>
      <c r="B73">
        <v>14.176</v>
      </c>
    </row>
    <row r="74" spans="1:2" x14ac:dyDescent="0.3">
      <c r="A74">
        <v>73</v>
      </c>
      <c r="B74">
        <v>14.183</v>
      </c>
    </row>
    <row r="75" spans="1:2" x14ac:dyDescent="0.3">
      <c r="A75">
        <v>74</v>
      </c>
      <c r="B75">
        <v>14.19</v>
      </c>
    </row>
    <row r="76" spans="1:2" x14ac:dyDescent="0.3">
      <c r="A76">
        <v>75</v>
      </c>
      <c r="B76">
        <v>14.196</v>
      </c>
    </row>
    <row r="77" spans="1:2" x14ac:dyDescent="0.3">
      <c r="A77">
        <v>76</v>
      </c>
      <c r="B77">
        <v>14.202</v>
      </c>
    </row>
    <row r="78" spans="1:2" x14ac:dyDescent="0.3">
      <c r="A78">
        <v>77</v>
      </c>
      <c r="B78">
        <v>14.208</v>
      </c>
    </row>
    <row r="79" spans="1:2" x14ac:dyDescent="0.3">
      <c r="A79">
        <v>78</v>
      </c>
      <c r="B79">
        <v>14.212999999999999</v>
      </c>
    </row>
    <row r="80" spans="1:2" x14ac:dyDescent="0.3">
      <c r="A80">
        <v>79</v>
      </c>
      <c r="B80">
        <v>14.218</v>
      </c>
    </row>
    <row r="81" spans="1:2" x14ac:dyDescent="0.3">
      <c r="A81">
        <v>80</v>
      </c>
      <c r="B81">
        <v>14.222</v>
      </c>
    </row>
    <row r="82" spans="1:2" x14ac:dyDescent="0.3">
      <c r="A82">
        <v>81</v>
      </c>
      <c r="B82">
        <v>14.226000000000001</v>
      </c>
    </row>
    <row r="83" spans="1:2" x14ac:dyDescent="0.3">
      <c r="A83">
        <v>82</v>
      </c>
      <c r="B83">
        <v>14.23</v>
      </c>
    </row>
    <row r="84" spans="1:2" x14ac:dyDescent="0.3">
      <c r="A84">
        <v>83</v>
      </c>
      <c r="B84">
        <v>14.234</v>
      </c>
    </row>
    <row r="85" spans="1:2" x14ac:dyDescent="0.3">
      <c r="A85">
        <v>84</v>
      </c>
      <c r="B85">
        <v>14.237</v>
      </c>
    </row>
    <row r="86" spans="1:2" x14ac:dyDescent="0.3">
      <c r="A86">
        <v>85</v>
      </c>
      <c r="B86">
        <v>14.24</v>
      </c>
    </row>
    <row r="87" spans="1:2" x14ac:dyDescent="0.3">
      <c r="A87">
        <v>86</v>
      </c>
      <c r="B87">
        <v>14.244</v>
      </c>
    </row>
    <row r="88" spans="1:2" x14ac:dyDescent="0.3">
      <c r="A88">
        <v>87</v>
      </c>
      <c r="B88">
        <v>14.246</v>
      </c>
    </row>
    <row r="89" spans="1:2" x14ac:dyDescent="0.3">
      <c r="A89">
        <v>88</v>
      </c>
      <c r="B89">
        <v>14.249000000000001</v>
      </c>
    </row>
    <row r="90" spans="1:2" x14ac:dyDescent="0.3">
      <c r="A90">
        <v>89</v>
      </c>
      <c r="B90">
        <v>14.250999999999999</v>
      </c>
    </row>
    <row r="91" spans="1:2" x14ac:dyDescent="0.3">
      <c r="A91">
        <v>90</v>
      </c>
      <c r="B91">
        <v>14.253</v>
      </c>
    </row>
    <row r="92" spans="1:2" x14ac:dyDescent="0.3">
      <c r="A92">
        <v>91</v>
      </c>
      <c r="B92">
        <v>14.255000000000001</v>
      </c>
    </row>
    <row r="93" spans="1:2" x14ac:dyDescent="0.3">
      <c r="A93">
        <v>92</v>
      </c>
      <c r="B93">
        <v>14.257</v>
      </c>
    </row>
    <row r="94" spans="1:2" x14ac:dyDescent="0.3">
      <c r="A94">
        <v>93</v>
      </c>
    </row>
    <row r="95" spans="1:2" x14ac:dyDescent="0.3">
      <c r="A95">
        <v>94</v>
      </c>
    </row>
    <row r="96" spans="1:2" x14ac:dyDescent="0.3">
      <c r="A96">
        <v>95</v>
      </c>
    </row>
    <row r="97" spans="1:1" x14ac:dyDescent="0.3">
      <c r="A97">
        <v>96</v>
      </c>
    </row>
    <row r="98" spans="1:1" x14ac:dyDescent="0.3">
      <c r="A98">
        <v>97</v>
      </c>
    </row>
    <row r="99" spans="1:1" x14ac:dyDescent="0.3">
      <c r="A99">
        <v>98</v>
      </c>
    </row>
    <row r="100" spans="1:1" x14ac:dyDescent="0.3">
      <c r="A100">
        <v>99</v>
      </c>
    </row>
    <row r="101" spans="1:1" x14ac:dyDescent="0.3">
      <c r="A101">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COVER</vt:lpstr>
      <vt:lpstr>FS</vt:lpstr>
      <vt:lpstr>DEP</vt:lpstr>
      <vt:lpstr>ABSTRACT</vt:lpstr>
      <vt:lpstr>MS</vt:lpstr>
      <vt:lpstr>RA</vt:lpstr>
      <vt:lpstr>YP</vt:lpstr>
      <vt:lpstr>ABSTRACT!Print_Area</vt:lpstr>
      <vt:lpstr>COVER!Print_Area</vt:lpstr>
      <vt:lpstr>MS!Print_Area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VINAY NAGOSE</cp:lastModifiedBy>
  <cp:revision>0</cp:revision>
  <cp:lastPrinted>2026-08-20T07:31:38Z</cp:lastPrinted>
  <dcterms:created xsi:type="dcterms:W3CDTF">2026-08-20T06:08:04Z</dcterms:created>
  <dcterms:modified xsi:type="dcterms:W3CDTF">2026-09-20T07:04:11Z</dcterms:modified>
  <dc:language>en-US</dc:language>
</cp:coreProperties>
</file>